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Break-even" sheetId="2" r:id="rId5"/>
    <sheet state="visible" name="Budget" sheetId="3" r:id="rId6"/>
    <sheet state="visible" name="Sales Goals" sheetId="4" r:id="rId7"/>
    <sheet state="visible" name="Input Data" sheetId="5" r:id="rId8"/>
    <sheet state="visible" name="January" sheetId="6" r:id="rId9"/>
    <sheet state="visible" name="February" sheetId="7" r:id="rId10"/>
    <sheet state="visible" name="March" sheetId="8" r:id="rId11"/>
    <sheet state="visible" name="April" sheetId="9" r:id="rId12"/>
    <sheet state="visible" name="May" sheetId="10" r:id="rId13"/>
    <sheet state="visible" name="June" sheetId="11" r:id="rId14"/>
    <sheet state="visible" name="July" sheetId="12" r:id="rId15"/>
    <sheet state="visible" name="August" sheetId="13" r:id="rId16"/>
    <sheet state="visible" name="September" sheetId="14" r:id="rId17"/>
    <sheet state="visible" name="October" sheetId="15" r:id="rId18"/>
    <sheet state="visible" name="November" sheetId="16" r:id="rId19"/>
    <sheet state="visible" name="December" sheetId="17" r:id="rId20"/>
    <sheet state="visible" name="Summary" sheetId="18" r:id="rId21"/>
    <sheet state="visible" name="Headcount" sheetId="19" r:id="rId22"/>
  </sheets>
  <definedNames/>
  <calcPr/>
  <extLst>
    <ext uri="GoogleSheetsCustomDataVersion2">
      <go:sheetsCustomData xmlns:go="http://customooxmlschemas.google.com/" r:id="rId23" roundtripDataChecksum="SsT3aQyipFXSiR5i02XBW3qdHIJpwiprOug1iULEXb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6">
      <text>
        <t xml:space="preserve">======
ID#AAAByLI4YA0
tc={FA12465F-7339-4882-B3B8-717F0C8B5A08}    (2025-12-30 18:45:50)
[Threaded comment]
Your version of Excel allows you to read this threaded comment; however, any edits to it will get removed if the file is opened in a newer version of Excel. Learn more: https://go.microsoft.com/fwlink/?linkid=870924
Comment:
    CSR - June Hire $25,000 + $10,000 benefits, give myself out of the field $75,000 + $30,000 benefits, + $7500 increase for staff</t>
      </text>
    </comment>
  </commentList>
  <extLst>
    <ext uri="GoogleSheetsCustomDataVersion2">
      <go:sheetsCustomData xmlns:go="http://customooxmlschemas.google.com/" r:id="rId1" roundtripDataSignature="AMtx7mhYPl1CcqUcT1ZskiUqcDd/gQbCZg=="/>
    </ext>
  </extLst>
</comments>
</file>

<file path=xl/sharedStrings.xml><?xml version="1.0" encoding="utf-8"?>
<sst xmlns="http://schemas.openxmlformats.org/spreadsheetml/2006/main" count="1264" uniqueCount="275">
  <si>
    <t>@dropdown</t>
  </si>
  <si>
    <t>General Instructions for Use of Budget and Planning  for HVAC and Plumbing Contractors</t>
  </si>
  <si>
    <t>Rules for Use:</t>
  </si>
  <si>
    <t>1. Yellow means a place for user to enter data and it is required</t>
  </si>
  <si>
    <t>2. Light blue means data has been entered once, and the software has exported it to this space.</t>
  </si>
  <si>
    <t xml:space="preserve">    Light blue is a place for the user to decide if they want to make edits or changes based on</t>
  </si>
  <si>
    <t xml:space="preserve">    each month, since some months may vary from yearly totals.  The software allows the option.</t>
  </si>
  <si>
    <t xml:space="preserve">    Leave the light blue and this uses a yearly figure.  Change it monthly only in light blue areas.</t>
  </si>
  <si>
    <t>3.Purple is calculated data that helps planning</t>
  </si>
  <si>
    <t>4. Calculated data - If changed may not calculate in others cells</t>
  </si>
  <si>
    <t>5. Unlocked calculated cells for you to adjust as needed</t>
  </si>
  <si>
    <t>6. You can always change anything you like - it is a program that is formatted to be open for changes.</t>
  </si>
  <si>
    <t>a. Each page is locked and formatted for input in Yellow cells and adjustment in Green cells. No password is required to unlock</t>
  </si>
  <si>
    <t>Tips and Notes:</t>
  </si>
  <si>
    <t>1. Before making any changes, save as a working model</t>
  </si>
  <si>
    <t>2. Use Input Data Page to make changes to monthly budgets</t>
  </si>
  <si>
    <t>3. Record daily revenue generaton in monthly tabs (optional)</t>
  </si>
  <si>
    <t>a. Can be recorded daily or weekly</t>
  </si>
  <si>
    <t>Input Required in Yellow Boxes ONLY</t>
  </si>
  <si>
    <t>Plan Start Date</t>
  </si>
  <si>
    <t>Enter rolling 12 months numbers here</t>
  </si>
  <si>
    <t>Current Year to Date Sales Volume</t>
  </si>
  <si>
    <t>Days in Year to Cover Overhead</t>
  </si>
  <si>
    <t>Date when Company Covers all Overhead</t>
  </si>
  <si>
    <t>Current Year to Date Overhead $ Amount</t>
  </si>
  <si>
    <t>Current Year to Date Gross Margin %</t>
  </si>
  <si>
    <t>Number of Weeks for Preceding Numbers</t>
  </si>
  <si>
    <t>Sales Volume Break-Even Year-To-Date</t>
  </si>
  <si>
    <t>Average Monthly $ Sales</t>
  </si>
  <si>
    <t>Monthly Sales Volume Break-even</t>
  </si>
  <si>
    <t xml:space="preserve">Average Weekly $ Sales </t>
  </si>
  <si>
    <t>Weekly Sales Volume Break-Even</t>
  </si>
  <si>
    <t>Average Break-Even Weeks for Period</t>
  </si>
  <si>
    <t xml:space="preserve">Average Days Worked per Week </t>
  </si>
  <si>
    <t>Average Daily Sales Volume</t>
  </si>
  <si>
    <t>Sales Volume Break-Even Per Day</t>
  </si>
  <si>
    <t>Net Profit Desired Above Break-even</t>
  </si>
  <si>
    <t>New $ Overhead Amount</t>
  </si>
  <si>
    <t>Additional Salaries including owner to be added to Overhead</t>
  </si>
  <si>
    <t>Additional Marketing $s to be added to Overhead</t>
  </si>
  <si>
    <t>Additional $ Insurance Cost to be added to Overhead</t>
  </si>
  <si>
    <t>Additional $ for Promotion Cost for Financing Buy-down, Give-Aways</t>
  </si>
  <si>
    <t>Additional cost of new direct cost employee ie., training, uniforms, etc.</t>
  </si>
  <si>
    <t>Cost of Depreciation for New Capital Investment</t>
  </si>
  <si>
    <t>Cost of Additional Third Party Services</t>
  </si>
  <si>
    <t>Additional $ Adjustment to OH.  Increase by minimum of 3%</t>
  </si>
  <si>
    <t>Overhead Comparison</t>
  </si>
  <si>
    <t>% Overhead to Previous Year's Revenue</t>
  </si>
  <si>
    <t>% Overhead to Budgeted Year's Revenue</t>
  </si>
  <si>
    <t>Budget Start Date</t>
  </si>
  <si>
    <t>New Gross Margin %</t>
  </si>
  <si>
    <t>New Sales Volume for Break-Even Plus Profit Goal + OH Adjustments Above</t>
  </si>
  <si>
    <t>Average Monthly Sales Volume for Break-Even Plus Profit Goal + OH Adjustments Above</t>
  </si>
  <si>
    <t xml:space="preserve">Average Weekly Sales Required  to Achieve Break-even + Profit Goal + OH Adjustment </t>
  </si>
  <si>
    <t>Average Weekly Sales $</t>
  </si>
  <si>
    <t xml:space="preserve">Average Daily Sales Required to Achieve Breakeven + Profit Goal + Overhead Adjustment </t>
  </si>
  <si>
    <t>STEP 1</t>
  </si>
  <si>
    <t>Sales Volume Required to Break-Even by Month</t>
  </si>
  <si>
    <t>Input 3 year historical data in Yellow boxes in tables below*</t>
  </si>
  <si>
    <t>* If departmental sales numbers are not avaiable, put monthly totals in Install department</t>
  </si>
  <si>
    <t>3 Yr Seasonal index</t>
  </si>
  <si>
    <t>STEP 2</t>
  </si>
  <si>
    <t>STEP 3</t>
  </si>
  <si>
    <t>Month</t>
  </si>
  <si>
    <t>Monthly Budget</t>
  </si>
  <si>
    <t>Compare Monthly Budgeted Sales Volume to Monthly Break-even Sales Volume.  If Monthly Budgeted Sales Volume is Below Monthly Break-even, do one of two things:</t>
  </si>
  <si>
    <t>Adjustment in Sales Volume per Month based on Break-Even</t>
  </si>
  <si>
    <t>Final Budgeted Sales Volume by Month</t>
  </si>
  <si>
    <t>January</t>
  </si>
  <si>
    <t>February</t>
  </si>
  <si>
    <t>March</t>
  </si>
  <si>
    <t>April</t>
  </si>
  <si>
    <t>May</t>
  </si>
  <si>
    <t>June</t>
  </si>
  <si>
    <t>1.  Return to Budget Page and reduce budgeted projections of overhead or increase gross margin %</t>
  </si>
  <si>
    <t>July</t>
  </si>
  <si>
    <t>August</t>
  </si>
  <si>
    <t>September</t>
  </si>
  <si>
    <t xml:space="preserve">October </t>
  </si>
  <si>
    <t>November</t>
  </si>
  <si>
    <t>2.  Increase sales in column "G" to Break-even Amount from "B3"</t>
  </si>
  <si>
    <t>December</t>
  </si>
  <si>
    <t>Historical Revenue</t>
  </si>
  <si>
    <t>3 Year Historical Seasonal Index</t>
  </si>
  <si>
    <t>Historical 3 Year  Total</t>
  </si>
  <si>
    <t>Total</t>
  </si>
  <si>
    <t>Install</t>
  </si>
  <si>
    <t>Service/Maint</t>
  </si>
  <si>
    <t>Plumbing</t>
  </si>
  <si>
    <t>Jan</t>
  </si>
  <si>
    <t>Feb</t>
  </si>
  <si>
    <t>Sept</t>
  </si>
  <si>
    <t>Oct</t>
  </si>
  <si>
    <t>Nov</t>
  </si>
  <si>
    <t>Dec</t>
  </si>
  <si>
    <t>Annual historical Dept %</t>
  </si>
  <si>
    <t>2026 department budget</t>
  </si>
  <si>
    <t>Enter Monthly Targets</t>
  </si>
  <si>
    <t>Target Annual Average    (based on monthly input)</t>
  </si>
  <si>
    <t>3 year historical Revenue Split average*</t>
  </si>
  <si>
    <t>October</t>
  </si>
  <si>
    <t>Revenue Split</t>
  </si>
  <si>
    <t>Used for headcount calculator</t>
  </si>
  <si>
    <t>Service</t>
  </si>
  <si>
    <t>Maitenance</t>
  </si>
  <si>
    <t>Installation</t>
  </si>
  <si>
    <t>* From Historical data on Sales Goals page</t>
  </si>
  <si>
    <t>Opportunity Job Average</t>
  </si>
  <si>
    <t>Sales Close %</t>
  </si>
  <si>
    <t>Close %</t>
  </si>
  <si>
    <t>Maintenance</t>
  </si>
  <si>
    <t>Staffing</t>
  </si>
  <si>
    <t>Opps per day</t>
  </si>
  <si>
    <t>Days per month</t>
  </si>
  <si>
    <t>Capacity per person</t>
  </si>
  <si>
    <t>Sales</t>
  </si>
  <si>
    <t>maintenance</t>
  </si>
  <si>
    <t>Tracking for Daily Break-Even and Sales - January</t>
  </si>
  <si>
    <t>Field Stafing</t>
  </si>
  <si>
    <t>Average Installation Ticket</t>
  </si>
  <si>
    <t># Opps Required</t>
  </si>
  <si>
    <t>Budgeted Monthly Sales Volume for Break-Even Plus Profit Goal + OH Adjustments Above</t>
  </si>
  <si>
    <t>Monthly Installation Sales Goal</t>
  </si>
  <si>
    <t>Closing %</t>
  </si>
  <si>
    <t># Installations Required this month</t>
  </si>
  <si>
    <t>Average Daily Sales Required to Achieve Breakeven + Profit Goal + Overhead Adjustment</t>
  </si>
  <si>
    <t>Service Opportunity Job Average</t>
  </si>
  <si>
    <t>Opp Calls Required</t>
  </si>
  <si>
    <t>Monthly Service Sales Goal</t>
  </si>
  <si>
    <t># Service Tickets Required this month</t>
  </si>
  <si>
    <t>Percentage of Revenue for Install</t>
  </si>
  <si>
    <t>Maintenance Opportunity Job Average</t>
  </si>
  <si>
    <t>Percentage of Revenue for Service</t>
  </si>
  <si>
    <t>Monthly Maintenance Sales Goal</t>
  </si>
  <si>
    <t># Maintenance Tickets Required this month</t>
  </si>
  <si>
    <t>Percentage of Revenue for Maintenance</t>
  </si>
  <si>
    <t>Plumbing Opportunity Job Average</t>
  </si>
  <si>
    <t>Percentage of Revenue for Plumbing</t>
  </si>
  <si>
    <t># PlumbingTickets Required this month</t>
  </si>
  <si>
    <t>Daily Service Goal</t>
  </si>
  <si>
    <t>Actual Service Revenue</t>
  </si>
  <si>
    <t>Daily Install Goal</t>
  </si>
  <si>
    <t>Actual Install Revenue</t>
  </si>
  <si>
    <t>Daily Maintenance Goal</t>
  </si>
  <si>
    <t>Actual Maintenance Sales</t>
  </si>
  <si>
    <t>Daily Plumbing Goal</t>
  </si>
  <si>
    <t>Actual Plumbing Revenue</t>
  </si>
  <si>
    <t>Sales Goal to Date</t>
  </si>
  <si>
    <t>Actual Sales to Date</t>
  </si>
  <si>
    <t>Difference Between Actual Sales &amp; Budgeted Sales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</si>
  <si>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</si>
  <si>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</si>
  <si>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</si>
  <si>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</si>
  <si>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</si>
  <si>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</si>
  <si>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</si>
  <si>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</si>
  <si>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</si>
  <si>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</si>
  <si>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</si>
  <si>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</si>
  <si>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</si>
  <si>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</si>
  <si>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</si>
  <si>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</si>
  <si>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</si>
  <si>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</si>
  <si>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</si>
  <si>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</si>
  <si>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</si>
  <si>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</si>
  <si>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</si>
  <si>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</si>
  <si>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</si>
  <si>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</si>
  <si>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</si>
  <si>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 xml:space="preserve"> ACTION PLANS</t>
  </si>
  <si>
    <t>Budgeted Cost</t>
  </si>
  <si>
    <t>Start Date</t>
  </si>
  <si>
    <t>Completion Date</t>
  </si>
  <si>
    <t>Who Responsible</t>
  </si>
  <si>
    <t>Tracking for Daily Break-Even and Sales - February</t>
  </si>
  <si>
    <t>#Opps Required</t>
  </si>
  <si>
    <t>Actual Install Reveue</t>
  </si>
  <si>
    <t>Actual Maintenance Revenue</t>
  </si>
  <si>
    <t>Tracking for Daily Break-Even and Sales - March</t>
  </si>
  <si>
    <t># Opp Required</t>
  </si>
  <si>
    <t>Tracking for Daily Break-Even and Sales - April</t>
  </si>
  <si>
    <t>Tracking for Daily Break-Even and Sales - May</t>
  </si>
  <si>
    <t>Tracking for Daily Break-Even and Sales - June</t>
  </si>
  <si>
    <t>Tracking for Daily Break-Even and Sales - July</t>
  </si>
  <si>
    <t>Tracking for Daily Break-Even and Sales - August</t>
  </si>
  <si>
    <t>Tracking for Daily Break-Even and Sales - September</t>
  </si>
  <si>
    <t>Tracking for Daily Break-Even and Sales - October</t>
  </si>
  <si>
    <t>Tracking for Daily Break-Even and Sales - November</t>
  </si>
  <si>
    <t>Tracking for Daily Break-Even and Sales - December</t>
  </si>
  <si>
    <t># Leads Required</t>
  </si>
  <si>
    <t>Booked Calls Required</t>
  </si>
  <si>
    <t>Annual Plan Sales Total</t>
  </si>
  <si>
    <t>Profit and Growth Plan</t>
  </si>
  <si>
    <t>Annual Result</t>
  </si>
  <si>
    <t>Income Statement</t>
  </si>
  <si>
    <t>Material (incl Elim)</t>
  </si>
  <si>
    <t>Labor</t>
  </si>
  <si>
    <t>Overhead</t>
  </si>
  <si>
    <t>Cost of Goods Sold</t>
  </si>
  <si>
    <t>Gross Margin $</t>
  </si>
  <si>
    <t>Planned New gross margin</t>
  </si>
  <si>
    <t>Target GM %</t>
  </si>
  <si>
    <t>Total Overhead</t>
  </si>
  <si>
    <t>OH %</t>
  </si>
  <si>
    <t>Profit (EBITDA)</t>
  </si>
  <si>
    <t>Additional Owners Distrubution</t>
  </si>
  <si>
    <t>Profit After Distrubution</t>
  </si>
  <si>
    <t>Profit %</t>
  </si>
  <si>
    <t>Actual Revenue and Profit</t>
  </si>
  <si>
    <t>Actual GM %</t>
  </si>
  <si>
    <t>Headcount Calculator</t>
  </si>
  <si>
    <t>Monthly staffing summary</t>
  </si>
  <si>
    <t>Field    /     Admin</t>
  </si>
  <si>
    <t>Total Assigned</t>
  </si>
  <si>
    <t xml:space="preserve">Target Headcount </t>
  </si>
  <si>
    <t>Annual</t>
  </si>
  <si>
    <t>Rev Per Headcount</t>
  </si>
  <si>
    <t xml:space="preserve">Field </t>
  </si>
  <si>
    <t>Admin</t>
  </si>
  <si>
    <t>Total Available</t>
  </si>
  <si>
    <t>% of revenue</t>
  </si>
  <si>
    <t>Department revenue goal</t>
  </si>
  <si>
    <t>Monthly staffing summary after efficiency calculations</t>
  </si>
  <si>
    <t>Field Headcount</t>
  </si>
  <si>
    <t>Total Field Headcount</t>
  </si>
  <si>
    <t># Salespeople</t>
  </si>
  <si>
    <t># Crews</t>
  </si>
  <si>
    <t># of Techs</t>
  </si>
  <si>
    <t># of crews</t>
  </si>
  <si>
    <t>Installs per month</t>
  </si>
  <si>
    <t>Monthly Feet in Doors</t>
  </si>
  <si>
    <t>Total call ran</t>
  </si>
  <si>
    <t>Efficiency</t>
  </si>
  <si>
    <t>Total calls ran</t>
  </si>
  <si>
    <t>Close Rate</t>
  </si>
  <si>
    <t>Total closed jobs</t>
  </si>
  <si>
    <t>Install Capacity</t>
  </si>
  <si>
    <t>Ave Rev</t>
  </si>
  <si>
    <t>Installs Per day</t>
  </si>
  <si>
    <t>Rev Per call</t>
  </si>
  <si>
    <t>Install Rev</t>
  </si>
  <si>
    <t>Average Monthly Revenue</t>
  </si>
  <si>
    <t>Revenue Capacity (could you do?)</t>
  </si>
  <si>
    <t>Monthly</t>
  </si>
  <si>
    <t>Revenue Per Headcount</t>
  </si>
  <si>
    <t>100% capacity</t>
  </si>
  <si>
    <t>Annual efficiency</t>
  </si>
  <si>
    <t>Admin Headcount</t>
  </si>
  <si>
    <t>Total Admin Headcount</t>
  </si>
  <si>
    <t>General Manager</t>
  </si>
  <si>
    <t>Office Manager</t>
  </si>
  <si>
    <t>CSR/Dispatch</t>
  </si>
  <si>
    <t>Operations Manager</t>
  </si>
  <si>
    <t>Accounting</t>
  </si>
  <si>
    <t>CSR Supervisor</t>
  </si>
  <si>
    <t>Sales Manager</t>
  </si>
  <si>
    <t>Sales/Job coordinator</t>
  </si>
  <si>
    <t xml:space="preserve">CSR </t>
  </si>
  <si>
    <t>Install Manager</t>
  </si>
  <si>
    <t>Admin Ast.</t>
  </si>
  <si>
    <t>Service Manager</t>
  </si>
  <si>
    <t>CSR/Follow up sales</t>
  </si>
  <si>
    <t>Other</t>
  </si>
  <si>
    <t>Warehouse</t>
  </si>
  <si>
    <t xml:space="preserve">Input from Previous sheet </t>
  </si>
  <si>
    <t>Important calculated data</t>
  </si>
  <si>
    <t>Calculated 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</si>
</sst>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&quot;$&quot;#,##0"/>
    <numFmt numFmtId="165" formatCode="&quot;$&quot;#,##0.00"/>
    <numFmt numFmtId="166" formatCode="&quot;$&quot;#,##0_);[Red]\(&quot;$&quot;#,##0\)"/>
    <numFmt numFmtId="167" formatCode="&quot;$&quot;#,##0_);\(&quot;$&quot;#,##0\)"/>
    <numFmt numFmtId="168" formatCode="_(&quot;$&quot;* #,##0_);_(&quot;$&quot;* \(#,##0\);_(&quot;$&quot;* &quot;-&quot;_);_(@_)"/>
    <numFmt numFmtId="169" formatCode="0.0%"/>
    <numFmt numFmtId="170" formatCode="_(* #,##0_);_(* \(#,##0\);_(* &quot;-&quot;_);_(@_)"/>
    <numFmt numFmtId="171" formatCode="_(* #,##0_);_(* \(#,##0\);_(* &quot;-&quot;??_);_(@_)"/>
    <numFmt numFmtId="172" formatCode="#,##0.0%;[Red]\(#,##0.0%\)"/>
    <numFmt numFmtId="173" formatCode="&quot;$&quot;#,##0.00_);\(&quot;$&quot;#,##0.00\)"/>
    <numFmt numFmtId="174" formatCode="#,##0.0_);\(#,##0.0\)"/>
    <numFmt numFmtId="175" formatCode="_(&quot;$&quot;* #,##0.00_);_(&quot;$&quot;* \(#,##0.00\);_(&quot;$&quot;* &quot;-&quot;??_);_(@_)"/>
    <numFmt numFmtId="176" formatCode="_(* #,##0.00_);_(* \(#,##0.00\);_(* &quot;-&quot;??_);_(@_)"/>
    <numFmt numFmtId="177" formatCode="_ [$￥-804]* #,##0.00_ ;_ [$￥-804]* \-#,##0.00_ ;_ [$￥-804]* &quot;-&quot;??_ ;_ @_ "/>
  </numFmts>
  <fonts count="46">
    <font>
      <sz val="10.0"/>
      <color rgb="FF000000"/>
      <name val="Arial"/>
      <scheme val="minor"/>
    </font>
    <font>
      <color theme="1"/>
      <name val="Arial"/>
      <scheme val="minor"/>
    </font>
    <font>
      <sz val="14.0"/>
      <color theme="1"/>
      <name val="Arial"/>
    </font>
    <font>
      <sz val="10.0"/>
      <color theme="1"/>
      <name val="Arial"/>
    </font>
    <font>
      <sz val="11.0"/>
      <color rgb="FF000000"/>
      <name val="Arial"/>
    </font>
    <font>
      <sz val="16.0"/>
      <color theme="1"/>
      <name val="Arial"/>
    </font>
    <font>
      <sz val="10.0"/>
      <color theme="0"/>
      <name val="Arial"/>
    </font>
    <font>
      <sz val="10.0"/>
      <color rgb="FF000000"/>
      <name val="Arial"/>
    </font>
    <font>
      <sz val="10.0"/>
      <color rgb="FFFFFF00"/>
      <name val="Arial"/>
    </font>
    <font>
      <b/>
      <sz val="14.0"/>
      <color theme="1"/>
      <name val="Arial"/>
    </font>
    <font/>
    <font>
      <b/>
      <sz val="16.0"/>
      <color theme="1"/>
      <name val="Arial"/>
    </font>
    <font>
      <b/>
      <sz val="12.0"/>
      <color theme="1"/>
      <name val="Arial"/>
    </font>
    <font>
      <b/>
      <sz val="12.0"/>
      <color theme="0"/>
      <name val="Arial"/>
    </font>
    <font>
      <b/>
      <sz val="12.0"/>
      <color rgb="FF0000FF"/>
      <name val="Arial"/>
    </font>
    <font>
      <b/>
      <sz val="16.0"/>
      <color rgb="FF0000FF"/>
      <name val="Arial"/>
    </font>
    <font>
      <b/>
      <sz val="16.0"/>
      <color theme="0"/>
      <name val="Arial"/>
    </font>
    <font>
      <sz val="12.0"/>
      <color theme="1"/>
      <name val="Arial"/>
    </font>
    <font>
      <b/>
      <sz val="10.0"/>
      <color theme="1"/>
      <name val="Arial"/>
    </font>
    <font>
      <sz val="14.0"/>
      <color rgb="FF000000"/>
      <name val="Arial"/>
    </font>
    <font>
      <sz val="11.0"/>
      <color rgb="FFFFFFFF"/>
      <name val="Arial"/>
    </font>
    <font>
      <sz val="24.0"/>
      <color rgb="FF000000"/>
      <name val="Arial"/>
    </font>
    <font>
      <b/>
      <sz val="22.0"/>
      <color theme="1"/>
      <name val="Arial"/>
    </font>
    <font>
      <b/>
      <sz val="10.0"/>
      <color theme="0"/>
      <name val="Arial"/>
    </font>
    <font>
      <b/>
      <sz val="11.0"/>
      <color theme="1"/>
      <name val="Arial"/>
    </font>
    <font>
      <b/>
      <sz val="10.0"/>
      <color rgb="FF000000"/>
      <name val="Arial"/>
    </font>
    <font>
      <sz val="18.0"/>
      <color theme="1"/>
      <name val="Times New Roman"/>
    </font>
    <font>
      <sz val="10.0"/>
      <color theme="1"/>
      <name val="Calibri"/>
    </font>
    <font>
      <b/>
      <sz val="18.0"/>
      <color theme="1"/>
      <name val="Times New Roman"/>
    </font>
    <font>
      <b/>
      <sz val="22.0"/>
      <color theme="1"/>
      <name val="Calibri"/>
    </font>
    <font>
      <sz val="10.0"/>
      <color theme="1"/>
      <name val="Times New Roman"/>
    </font>
    <font>
      <sz val="9.0"/>
      <color theme="1"/>
      <name val="Calibri"/>
    </font>
    <font>
      <b/>
      <sz val="10.0"/>
      <color theme="1"/>
      <name val="Times New Roman"/>
    </font>
    <font>
      <b/>
      <sz val="11.0"/>
      <color theme="1"/>
      <name val="Calibri"/>
    </font>
    <font>
      <b/>
      <sz val="9.0"/>
      <color theme="1"/>
      <name val="Calibri"/>
    </font>
    <font>
      <b/>
      <sz val="18.0"/>
      <color theme="1"/>
      <name val="Calibri"/>
    </font>
    <font>
      <b/>
      <sz val="14.0"/>
      <color theme="1"/>
      <name val="Calibri"/>
    </font>
    <font>
      <sz val="16.0"/>
      <color theme="1"/>
      <name val="Calibri"/>
    </font>
    <font>
      <b/>
      <sz val="16.0"/>
      <color theme="1"/>
      <name val="Calibri"/>
    </font>
    <font>
      <b/>
      <sz val="20.0"/>
      <color theme="1"/>
      <name val="Calibri"/>
    </font>
    <font>
      <b/>
      <sz val="11.0"/>
      <color theme="0"/>
      <name val="Calibri"/>
    </font>
    <font>
      <sz val="10.0"/>
      <color theme="4"/>
      <name val="Times New Roman"/>
    </font>
    <font>
      <i/>
      <sz val="10.0"/>
      <color theme="1"/>
      <name val="Times New Roman"/>
    </font>
    <font>
      <b/>
      <u/>
      <sz val="10.0"/>
      <color theme="1"/>
      <name val="Times New Roman"/>
    </font>
    <font>
      <b/>
      <sz val="10.0"/>
      <color theme="0"/>
      <name val="Times New Roman"/>
    </font>
    <font>
      <b/>
      <u/>
      <sz val="10.0"/>
      <color theme="1"/>
      <name val="Times New Roman"/>
    </font>
  </fonts>
  <fills count="2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E1F2"/>
        <bgColor rgb="FFD9E1F2"/>
      </patternFill>
    </fill>
    <fill>
      <patternFill patternType="solid">
        <fgColor rgb="FF7030A0"/>
        <bgColor rgb="FF7030A0"/>
      </patternFill>
    </fill>
    <fill>
      <patternFill patternType="solid">
        <fgColor rgb="FFFFC000"/>
        <bgColor rgb="FFFFC0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F99FF"/>
        <bgColor rgb="FFFF99FF"/>
      </patternFill>
    </fill>
    <fill>
      <patternFill patternType="solid">
        <fgColor rgb="FF00B0F0"/>
        <bgColor rgb="FF00B0F0"/>
      </patternFill>
    </fill>
    <fill>
      <patternFill patternType="solid">
        <fgColor rgb="FFB2A1C7"/>
        <bgColor rgb="FFB2A1C7"/>
      </patternFill>
    </fill>
    <fill>
      <patternFill patternType="solid">
        <fgColor rgb="FFB8CCE4"/>
        <bgColor rgb="FFB8CCE4"/>
      </patternFill>
    </fill>
    <fill>
      <patternFill patternType="solid">
        <fgColor rgb="FFD99594"/>
        <bgColor rgb="FFD99594"/>
      </patternFill>
    </fill>
    <fill>
      <patternFill patternType="solid">
        <fgColor rgb="FFDBE5F1"/>
        <bgColor rgb="FFDBE5F1"/>
      </patternFill>
    </fill>
    <fill>
      <patternFill patternType="solid">
        <fgColor rgb="FF00B050"/>
        <bgColor rgb="FF00B050"/>
      </patternFill>
    </fill>
    <fill>
      <patternFill patternType="solid">
        <fgColor rgb="FF33CCFF"/>
        <bgColor rgb="FF33CCFF"/>
      </patternFill>
    </fill>
    <fill>
      <patternFill patternType="solid">
        <fgColor rgb="FF66FF33"/>
        <bgColor rgb="FF66FF33"/>
      </patternFill>
    </fill>
    <fill>
      <patternFill patternType="solid">
        <fgColor rgb="FFFF9933"/>
        <bgColor rgb="FFFF9933"/>
      </patternFill>
    </fill>
    <fill>
      <patternFill patternType="solid">
        <fgColor rgb="FF8DB3E2"/>
        <bgColor rgb="FF8DB3E2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</fills>
  <borders count="105">
    <border/>
    <border>
      <left/>
      <right/>
      <top/>
      <bottom/>
    </border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/>
      <bottom/>
    </border>
    <border>
      <top/>
      <bottom/>
    </border>
    <border>
      <right/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  <bottom/>
    </border>
    <border>
      <right style="medium">
        <color rgb="FF000000"/>
      </right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/>
    </border>
    <border>
      <left/>
      <right style="medium">
        <color rgb="FF000000"/>
      </right>
      <top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bottom style="medium">
        <color rgb="FF000000"/>
      </bottom>
    </border>
    <border>
      <left style="medium">
        <color rgb="FF000000"/>
      </left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/>
    </border>
    <border>
      <right style="medium">
        <color rgb="FF000000"/>
      </right>
      <top/>
    </border>
    <border>
      <left style="medium">
        <color rgb="FF000000"/>
      </left>
      <right/>
      <top/>
      <bottom/>
    </border>
    <border>
      <top style="medium">
        <color rgb="FF000000"/>
      </top>
      <bottom/>
    </border>
    <border>
      <top style="medium">
        <color rgb="FF000000"/>
      </top>
    </border>
    <border>
      <top style="medium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/>
    </border>
    <border>
      <left/>
      <right style="medium">
        <color rgb="FF000000"/>
      </right>
      <top/>
      <bottom style="medium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/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1" fillId="2" fontId="3" numFmtId="0" xfId="0" applyBorder="1" applyFill="1" applyFont="1"/>
    <xf borderId="1" fillId="3" fontId="3" numFmtId="0" xfId="0" applyBorder="1" applyFill="1" applyFont="1"/>
    <xf borderId="1" fillId="4" fontId="6" numFmtId="0" xfId="0" applyBorder="1" applyFill="1" applyFont="1"/>
    <xf borderId="0" fillId="0" fontId="7" numFmtId="0" xfId="0" applyFont="1"/>
    <xf borderId="1" fillId="5" fontId="4" numFmtId="0" xfId="0" applyBorder="1" applyFill="1" applyFont="1"/>
    <xf borderId="0" fillId="0" fontId="1" numFmtId="0" xfId="0" applyFont="1"/>
    <xf borderId="1" fillId="6" fontId="4" numFmtId="0" xfId="0" applyBorder="1" applyFill="1" applyFont="1"/>
    <xf borderId="0" fillId="0" fontId="8" numFmtId="0" xfId="0" applyFont="1"/>
    <xf borderId="2" fillId="2" fontId="9" numFmtId="0" xfId="0" applyAlignment="1" applyBorder="1" applyFont="1">
      <alignment horizontal="center"/>
    </xf>
    <xf borderId="3" fillId="0" fontId="10" numFmtId="0" xfId="0" applyBorder="1" applyFont="1"/>
    <xf borderId="4" fillId="0" fontId="11" numFmtId="0" xfId="0" applyAlignment="1" applyBorder="1" applyFont="1">
      <alignment horizontal="center"/>
    </xf>
    <xf borderId="5" fillId="0" fontId="9" numFmtId="0" xfId="0" applyBorder="1" applyFont="1"/>
    <xf borderId="6" fillId="2" fontId="11" numFmtId="14" xfId="0" applyAlignment="1" applyBorder="1" applyFont="1" applyNumberFormat="1">
      <alignment horizontal="center"/>
    </xf>
    <xf borderId="7" fillId="0" fontId="9" numFmtId="0" xfId="0" applyAlignment="1" applyBorder="1" applyFont="1">
      <alignment horizontal="center" shrinkToFit="0" wrapText="1"/>
    </xf>
    <xf borderId="8" fillId="0" fontId="12" numFmtId="0" xfId="0" applyAlignment="1" applyBorder="1" applyFont="1">
      <alignment shrinkToFit="0" wrapText="1"/>
    </xf>
    <xf borderId="9" fillId="2" fontId="12" numFmtId="164" xfId="0" applyAlignment="1" applyBorder="1" applyFont="1" applyNumberFormat="1">
      <alignment horizontal="center"/>
    </xf>
    <xf borderId="10" fillId="0" fontId="3" numFmtId="0" xfId="0" applyBorder="1" applyFont="1"/>
    <xf borderId="5" fillId="0" fontId="12" numFmtId="0" xfId="0" applyAlignment="1" applyBorder="1" applyFont="1">
      <alignment horizontal="center" shrinkToFit="0" wrapText="1"/>
    </xf>
    <xf borderId="11" fillId="0" fontId="12" numFmtId="0" xfId="0" applyAlignment="1" applyBorder="1" applyFont="1">
      <alignment horizontal="center" shrinkToFit="0" wrapText="1"/>
    </xf>
    <xf borderId="0" fillId="0" fontId="12" numFmtId="165" xfId="0" applyAlignment="1" applyFont="1" applyNumberFormat="1">
      <alignment shrinkToFit="0" wrapText="1"/>
    </xf>
    <xf borderId="0" fillId="0" fontId="12" numFmtId="0" xfId="0" applyAlignment="1" applyFont="1">
      <alignment shrinkToFit="0" wrapText="1"/>
    </xf>
    <xf borderId="9" fillId="0" fontId="3" numFmtId="0" xfId="0" applyAlignment="1" applyBorder="1" applyFont="1">
      <alignment horizontal="center"/>
    </xf>
    <xf borderId="0" fillId="0" fontId="12" numFmtId="165" xfId="0" applyAlignment="1" applyFont="1" applyNumberFormat="1">
      <alignment horizontal="center"/>
    </xf>
    <xf borderId="0" fillId="0" fontId="12" numFmtId="164" xfId="0" applyAlignment="1" applyFont="1" applyNumberFormat="1">
      <alignment horizontal="center"/>
    </xf>
    <xf borderId="0" fillId="0" fontId="12" numFmtId="164" xfId="0" applyFont="1" applyNumberFormat="1"/>
    <xf borderId="12" fillId="4" fontId="13" numFmtId="1" xfId="0" applyAlignment="1" applyBorder="1" applyFont="1" applyNumberFormat="1">
      <alignment horizontal="center"/>
    </xf>
    <xf borderId="5" fillId="4" fontId="13" numFmtId="14" xfId="0" applyAlignment="1" applyBorder="1" applyFont="1" applyNumberFormat="1">
      <alignment horizontal="center" shrinkToFit="0" wrapText="1"/>
    </xf>
    <xf borderId="9" fillId="0" fontId="12" numFmtId="164" xfId="0" applyAlignment="1" applyBorder="1" applyFont="1" applyNumberFormat="1">
      <alignment horizontal="center"/>
    </xf>
    <xf borderId="9" fillId="2" fontId="12" numFmtId="10" xfId="0" applyAlignment="1" applyBorder="1" applyFont="1" applyNumberFormat="1">
      <alignment horizontal="center"/>
    </xf>
    <xf borderId="0" fillId="0" fontId="12" numFmtId="0" xfId="0" applyAlignment="1" applyFont="1">
      <alignment horizontal="center" shrinkToFit="0" wrapText="1"/>
    </xf>
    <xf borderId="0" fillId="0" fontId="3" numFmtId="0" xfId="0" applyAlignment="1" applyFont="1">
      <alignment horizontal="center"/>
    </xf>
    <xf borderId="8" fillId="0" fontId="3" numFmtId="0" xfId="0" applyBorder="1" applyFont="1"/>
    <xf borderId="0" fillId="0" fontId="12" numFmtId="10" xfId="0" applyAlignment="1" applyFont="1" applyNumberFormat="1">
      <alignment horizontal="center"/>
    </xf>
    <xf borderId="8" fillId="0" fontId="12" numFmtId="0" xfId="0" applyBorder="1" applyFont="1"/>
    <xf borderId="9" fillId="2" fontId="12" numFmtId="0" xfId="0" applyAlignment="1" applyBorder="1" applyFont="1">
      <alignment horizontal="center"/>
    </xf>
    <xf borderId="9" fillId="7" fontId="12" numFmtId="0" xfId="0" applyAlignment="1" applyBorder="1" applyFill="1" applyFont="1">
      <alignment horizontal="center"/>
    </xf>
    <xf borderId="13" fillId="6" fontId="14" numFmtId="0" xfId="0" applyBorder="1" applyFont="1"/>
    <xf borderId="9" fillId="5" fontId="14" numFmtId="164" xfId="0" applyAlignment="1" applyBorder="1" applyFont="1" applyNumberFormat="1">
      <alignment horizontal="center"/>
    </xf>
    <xf borderId="8" fillId="0" fontId="14" numFmtId="0" xfId="0" applyBorder="1" applyFont="1"/>
    <xf borderId="9" fillId="0" fontId="14" numFmtId="164" xfId="0" applyAlignment="1" applyBorder="1" applyFont="1" applyNumberFormat="1">
      <alignment horizontal="center"/>
    </xf>
    <xf borderId="13" fillId="8" fontId="12" numFmtId="0" xfId="0" applyBorder="1" applyFill="1" applyFont="1"/>
    <xf borderId="9" fillId="5" fontId="12" numFmtId="164" xfId="0" applyAlignment="1" applyBorder="1" applyFont="1" applyNumberFormat="1">
      <alignment horizontal="center"/>
    </xf>
    <xf borderId="13" fillId="9" fontId="12" numFmtId="0" xfId="0" applyBorder="1" applyFill="1" applyFont="1"/>
    <xf borderId="9" fillId="5" fontId="12" numFmtId="165" xfId="0" applyAlignment="1" applyBorder="1" applyFont="1" applyNumberFormat="1">
      <alignment horizontal="center"/>
    </xf>
    <xf borderId="9" fillId="0" fontId="12" numFmtId="165" xfId="0" applyAlignment="1" applyBorder="1" applyFont="1" applyNumberFormat="1">
      <alignment horizontal="center"/>
    </xf>
    <xf borderId="13" fillId="10" fontId="12" numFmtId="0" xfId="0" applyBorder="1" applyFill="1" applyFont="1"/>
    <xf borderId="9" fillId="5" fontId="12" numFmtId="4" xfId="0" applyAlignment="1" applyBorder="1" applyFont="1" applyNumberFormat="1">
      <alignment horizontal="center"/>
    </xf>
    <xf borderId="8" fillId="0" fontId="11" numFmtId="0" xfId="0" applyBorder="1" applyFont="1"/>
    <xf borderId="13" fillId="7" fontId="12" numFmtId="0" xfId="0" applyBorder="1" applyFont="1"/>
    <xf borderId="9" fillId="2" fontId="12" numFmtId="1" xfId="0" applyAlignment="1" applyBorder="1" applyFont="1" applyNumberFormat="1">
      <alignment horizontal="center" shrinkToFit="0" wrapText="1"/>
    </xf>
    <xf borderId="8" fillId="0" fontId="14" numFmtId="0" xfId="0" applyAlignment="1" applyBorder="1" applyFont="1">
      <alignment shrinkToFit="0" wrapText="1"/>
    </xf>
    <xf borderId="9" fillId="0" fontId="12" numFmtId="10" xfId="0" applyAlignment="1" applyBorder="1" applyFont="1" applyNumberFormat="1">
      <alignment horizontal="center"/>
    </xf>
    <xf borderId="0" fillId="0" fontId="14" numFmtId="0" xfId="0" applyAlignment="1" applyFont="1">
      <alignment shrinkToFit="0" wrapText="1"/>
    </xf>
    <xf borderId="0" fillId="0" fontId="14" numFmtId="0" xfId="0" applyAlignment="1" applyFont="1">
      <alignment horizontal="center" shrinkToFit="0" wrapText="1"/>
    </xf>
    <xf borderId="13" fillId="11" fontId="12" numFmtId="0" xfId="0" applyAlignment="1" applyBorder="1" applyFill="1" applyFont="1">
      <alignment shrinkToFit="0" wrapText="1"/>
    </xf>
    <xf borderId="0" fillId="0" fontId="14" numFmtId="164" xfId="0" applyFont="1" applyNumberFormat="1"/>
    <xf borderId="0" fillId="0" fontId="14" numFmtId="164" xfId="0" applyAlignment="1" applyFont="1" applyNumberFormat="1">
      <alignment horizontal="center"/>
    </xf>
    <xf borderId="14" fillId="12" fontId="12" numFmtId="0" xfId="0" applyBorder="1" applyFill="1" applyFont="1"/>
    <xf borderId="15" fillId="5" fontId="12" numFmtId="165" xfId="0" applyAlignment="1" applyBorder="1" applyFont="1" applyNumberFormat="1">
      <alignment horizontal="center"/>
    </xf>
    <xf borderId="0" fillId="0" fontId="12" numFmtId="0" xfId="0" applyFont="1"/>
    <xf borderId="0" fillId="0" fontId="3" numFmtId="14" xfId="0" applyAlignment="1" applyFont="1" applyNumberFormat="1">
      <alignment horizontal="center"/>
    </xf>
    <xf borderId="0" fillId="0" fontId="14" numFmtId="165" xfId="0" applyFont="1" applyNumberFormat="1"/>
    <xf borderId="0" fillId="0" fontId="11" numFmtId="0" xfId="0" applyFont="1"/>
    <xf borderId="16" fillId="2" fontId="11" numFmtId="0" xfId="0" applyBorder="1" applyFont="1"/>
    <xf borderId="17" fillId="0" fontId="10" numFmtId="0" xfId="0" applyBorder="1" applyFont="1"/>
    <xf borderId="18" fillId="0" fontId="10" numFmtId="0" xfId="0" applyBorder="1" applyFont="1"/>
    <xf borderId="4" fillId="0" fontId="11" numFmtId="0" xfId="0" applyAlignment="1" applyBorder="1" applyFont="1">
      <alignment shrinkToFit="0" wrapText="1"/>
    </xf>
    <xf borderId="5" fillId="13" fontId="11" numFmtId="164" xfId="0" applyAlignment="1" applyBorder="1" applyFill="1" applyFont="1" applyNumberFormat="1">
      <alignment horizontal="center"/>
    </xf>
    <xf borderId="19" fillId="14" fontId="11" numFmtId="0" xfId="0" applyAlignment="1" applyBorder="1" applyFill="1" applyFont="1">
      <alignment horizontal="center" shrinkToFit="0" wrapText="1"/>
    </xf>
    <xf borderId="20" fillId="0" fontId="10" numFmtId="0" xfId="0" applyBorder="1" applyFont="1"/>
    <xf borderId="0" fillId="0" fontId="11" numFmtId="165" xfId="0" applyAlignment="1" applyFont="1" applyNumberFormat="1">
      <alignment shrinkToFit="0" wrapText="1"/>
    </xf>
    <xf borderId="0" fillId="0" fontId="11" numFmtId="0" xfId="0" applyAlignment="1" applyFont="1">
      <alignment shrinkToFit="0" wrapText="1"/>
    </xf>
    <xf borderId="21" fillId="0" fontId="11" numFmtId="0" xfId="0" applyAlignment="1" applyBorder="1" applyFont="1">
      <alignment horizontal="center" shrinkToFit="0" wrapText="1"/>
    </xf>
    <xf borderId="22" fillId="0" fontId="10" numFmtId="0" xfId="0" applyBorder="1" applyFont="1"/>
    <xf borderId="23" fillId="2" fontId="11" numFmtId="164" xfId="0" applyAlignment="1" applyBorder="1" applyFont="1" applyNumberFormat="1">
      <alignment horizontal="center" readingOrder="0"/>
    </xf>
    <xf borderId="24" fillId="0" fontId="10" numFmtId="0" xfId="0" applyBorder="1" applyFont="1"/>
    <xf borderId="0" fillId="0" fontId="11" numFmtId="164" xfId="0" applyFont="1" applyNumberFormat="1"/>
    <xf borderId="25" fillId="0" fontId="10" numFmtId="0" xfId="0" applyBorder="1" applyFont="1"/>
    <xf borderId="26" fillId="0" fontId="10" numFmtId="0" xfId="0" applyBorder="1" applyFont="1"/>
    <xf borderId="0" fillId="0" fontId="11" numFmtId="165" xfId="0" applyFont="1" applyNumberFormat="1"/>
    <xf borderId="27" fillId="0" fontId="10" numFmtId="0" xfId="0" applyBorder="1" applyFont="1"/>
    <xf borderId="28" fillId="0" fontId="10" numFmtId="0" xfId="0" applyBorder="1" applyFont="1"/>
    <xf borderId="29" fillId="14" fontId="11" numFmtId="165" xfId="0" applyAlignment="1" applyBorder="1" applyFont="1" applyNumberFormat="1">
      <alignment horizontal="center" shrinkToFit="0" vertical="center" wrapText="1"/>
    </xf>
    <xf borderId="5" fillId="14" fontId="11" numFmtId="0" xfId="0" applyAlignment="1" applyBorder="1" applyFont="1">
      <alignment horizontal="center" shrinkToFit="0" vertical="center" wrapText="1"/>
    </xf>
    <xf borderId="5" fillId="14" fontId="11" numFmtId="165" xfId="0" applyAlignment="1" applyBorder="1" applyFont="1" applyNumberFormat="1">
      <alignment horizontal="center" shrinkToFit="0" vertical="center" wrapText="1"/>
    </xf>
    <xf borderId="30" fillId="14" fontId="11" numFmtId="0" xfId="0" applyAlignment="1" applyBorder="1" applyFont="1">
      <alignment horizontal="center" shrinkToFit="0" vertical="center" wrapText="1"/>
    </xf>
    <xf borderId="5" fillId="2" fontId="11" numFmtId="164" xfId="0" applyAlignment="1" applyBorder="1" applyFont="1" applyNumberFormat="1">
      <alignment horizontal="center"/>
    </xf>
    <xf borderId="5" fillId="2" fontId="11" numFmtId="164" xfId="0" applyAlignment="1" applyBorder="1" applyFont="1" applyNumberFormat="1">
      <alignment horizontal="center" readingOrder="0"/>
    </xf>
    <xf borderId="1" fillId="7" fontId="5" numFmtId="0" xfId="0" applyBorder="1" applyFont="1"/>
    <xf borderId="1" fillId="7" fontId="11" numFmtId="164" xfId="0" applyBorder="1" applyFont="1" applyNumberFormat="1"/>
    <xf borderId="12" fillId="15" fontId="11" numFmtId="164" xfId="0" applyAlignment="1" applyBorder="1" applyFill="1" applyFont="1" applyNumberFormat="1">
      <alignment horizontal="center" shrinkToFit="0" vertical="center" wrapText="1"/>
    </xf>
    <xf borderId="5" fillId="15" fontId="11" numFmtId="164" xfId="0" applyAlignment="1" applyBorder="1" applyFont="1" applyNumberFormat="1">
      <alignment horizontal="center" shrinkToFit="0" vertical="center" wrapText="1"/>
    </xf>
    <xf borderId="12" fillId="15" fontId="11" numFmtId="164" xfId="0" applyAlignment="1" applyBorder="1" applyFont="1" applyNumberFormat="1">
      <alignment horizontal="center"/>
    </xf>
    <xf borderId="5" fillId="5" fontId="11" numFmtId="10" xfId="0" applyAlignment="1" applyBorder="1" applyFont="1" applyNumberFormat="1">
      <alignment horizontal="center"/>
    </xf>
    <xf borderId="21" fillId="6" fontId="11" numFmtId="0" xfId="0" applyAlignment="1" applyBorder="1" applyFont="1">
      <alignment horizontal="center"/>
    </xf>
    <xf borderId="5" fillId="14" fontId="11" numFmtId="0" xfId="0" applyAlignment="1" applyBorder="1" applyFont="1">
      <alignment horizontal="center" shrinkToFit="0" wrapText="1"/>
    </xf>
    <xf borderId="31" fillId="0" fontId="10" numFmtId="0" xfId="0" applyBorder="1" applyFont="1"/>
    <xf borderId="32" fillId="0" fontId="10" numFmtId="0" xfId="0" applyBorder="1" applyFont="1"/>
    <xf borderId="5" fillId="13" fontId="11" numFmtId="10" xfId="0" applyAlignment="1" applyBorder="1" applyFont="1" applyNumberFormat="1">
      <alignment horizontal="center"/>
    </xf>
    <xf borderId="5" fillId="2" fontId="11" numFmtId="10" xfId="0" applyAlignment="1" applyBorder="1" applyFont="1" applyNumberFormat="1">
      <alignment horizontal="center"/>
    </xf>
    <xf borderId="21" fillId="2" fontId="11" numFmtId="14" xfId="0" applyAlignment="1" applyBorder="1" applyFont="1" applyNumberFormat="1">
      <alignment horizontal="center"/>
    </xf>
    <xf borderId="4" fillId="0" fontId="5" numFmtId="0" xfId="0" applyAlignment="1" applyBorder="1" applyFont="1">
      <alignment horizontal="center"/>
    </xf>
    <xf borderId="11" fillId="0" fontId="10" numFmtId="0" xfId="0" applyBorder="1" applyFont="1"/>
    <xf borderId="33" fillId="0" fontId="5" numFmtId="0" xfId="0" applyAlignment="1" applyBorder="1" applyFont="1">
      <alignment horizontal="center"/>
    </xf>
    <xf borderId="4" fillId="0" fontId="11" numFmtId="0" xfId="0" applyBorder="1" applyFont="1"/>
    <xf borderId="5" fillId="13" fontId="11" numFmtId="0" xfId="0" applyAlignment="1" applyBorder="1" applyFont="1">
      <alignment horizontal="center"/>
    </xf>
    <xf borderId="34" fillId="0" fontId="10" numFmtId="0" xfId="0" applyBorder="1" applyFont="1"/>
    <xf borderId="21" fillId="16" fontId="11" numFmtId="0" xfId="0" applyAlignment="1" applyBorder="1" applyFill="1" applyFont="1">
      <alignment horizontal="center" shrinkToFit="0" vertical="center" wrapText="1"/>
    </xf>
    <xf borderId="35" fillId="6" fontId="11" numFmtId="0" xfId="0" applyAlignment="1" applyBorder="1" applyFont="1">
      <alignment horizontal="center" shrinkToFit="0" vertical="center" wrapText="1"/>
    </xf>
    <xf borderId="36" fillId="6" fontId="11" numFmtId="0" xfId="0" applyAlignment="1" applyBorder="1" applyFont="1">
      <alignment horizontal="center" shrinkToFit="0" vertical="center" wrapText="1"/>
    </xf>
    <xf borderId="37" fillId="0" fontId="10" numFmtId="0" xfId="0" applyBorder="1" applyFont="1"/>
    <xf borderId="38" fillId="0" fontId="10" numFmtId="0" xfId="0" applyBorder="1" applyFont="1"/>
    <xf borderId="12" fillId="17" fontId="15" numFmtId="0" xfId="0" applyBorder="1" applyFill="1" applyFont="1"/>
    <xf borderId="5" fillId="5" fontId="11" numFmtId="164" xfId="0" applyAlignment="1" applyBorder="1" applyFont="1" applyNumberFormat="1">
      <alignment horizontal="center"/>
    </xf>
    <xf borderId="5" fillId="5" fontId="11" numFmtId="165" xfId="0" applyAlignment="1" applyBorder="1" applyFont="1" applyNumberFormat="1">
      <alignment horizontal="center"/>
    </xf>
    <xf borderId="39" fillId="5" fontId="11" numFmtId="164" xfId="0" applyAlignment="1" applyBorder="1" applyFont="1" applyNumberFormat="1">
      <alignment horizontal="center"/>
    </xf>
    <xf borderId="40" fillId="0" fontId="10" numFmtId="0" xfId="0" applyBorder="1" applyFont="1"/>
    <xf borderId="41" fillId="4" fontId="16" numFmtId="1" xfId="0" applyAlignment="1" applyBorder="1" applyFont="1" applyNumberFormat="1">
      <alignment horizontal="center"/>
    </xf>
    <xf borderId="42" fillId="4" fontId="16" numFmtId="14" xfId="0" applyAlignment="1" applyBorder="1" applyFont="1" applyNumberFormat="1">
      <alignment horizontal="center" shrinkToFit="0" wrapText="1"/>
    </xf>
    <xf borderId="21" fillId="0" fontId="15" numFmtId="0" xfId="0" applyAlignment="1" applyBorder="1" applyFont="1">
      <alignment horizontal="center"/>
    </xf>
    <xf borderId="33" fillId="0" fontId="11" numFmtId="165" xfId="0" applyAlignment="1" applyBorder="1" applyFont="1" applyNumberFormat="1">
      <alignment horizontal="center"/>
    </xf>
    <xf borderId="1" fillId="7" fontId="11" numFmtId="0" xfId="0" applyAlignment="1" applyBorder="1" applyFont="1">
      <alignment shrinkToFit="0" wrapText="1"/>
    </xf>
    <xf borderId="43" fillId="0" fontId="10" numFmtId="0" xfId="0" applyBorder="1" applyFont="1"/>
    <xf borderId="44" fillId="0" fontId="10" numFmtId="0" xfId="0" applyBorder="1" applyFont="1"/>
    <xf borderId="12" fillId="8" fontId="11" numFmtId="0" xfId="0" applyBorder="1" applyFont="1"/>
    <xf borderId="23" fillId="5" fontId="11" numFmtId="164" xfId="0" applyAlignment="1" applyBorder="1" applyFont="1" applyNumberFormat="1">
      <alignment horizontal="center"/>
    </xf>
    <xf borderId="4" fillId="7" fontId="15" numFmtId="0" xfId="0" applyAlignment="1" applyBorder="1" applyFont="1">
      <alignment horizontal="center"/>
    </xf>
    <xf borderId="5" fillId="8" fontId="11" numFmtId="0" xfId="0" applyBorder="1" applyFont="1"/>
    <xf borderId="45" fillId="5" fontId="11" numFmtId="164" xfId="0" applyAlignment="1" applyBorder="1" applyFont="1" applyNumberFormat="1">
      <alignment horizontal="center"/>
    </xf>
    <xf borderId="46" fillId="7" fontId="15" numFmtId="0" xfId="0" applyAlignment="1" applyBorder="1" applyFont="1">
      <alignment horizontal="center"/>
    </xf>
    <xf borderId="47" fillId="0" fontId="10" numFmtId="0" xfId="0" applyBorder="1" applyFont="1"/>
    <xf borderId="33" fillId="7" fontId="11" numFmtId="165" xfId="0" applyAlignment="1" applyBorder="1" applyFont="1" applyNumberFormat="1">
      <alignment horizontal="center"/>
    </xf>
    <xf borderId="12" fillId="9" fontId="11" numFmtId="0" xfId="0" applyBorder="1" applyFont="1"/>
    <xf borderId="4" fillId="5" fontId="11" numFmtId="164" xfId="0" applyAlignment="1" applyBorder="1" applyFont="1" applyNumberFormat="1">
      <alignment horizontal="center"/>
    </xf>
    <xf borderId="46" fillId="6" fontId="11" numFmtId="0" xfId="0" applyAlignment="1" applyBorder="1" applyFont="1">
      <alignment horizontal="center" shrinkToFit="0" vertical="center" wrapText="1"/>
    </xf>
    <xf borderId="5" fillId="9" fontId="11" numFmtId="0" xfId="0" applyBorder="1" applyFont="1"/>
    <xf borderId="45" fillId="5" fontId="11" numFmtId="165" xfId="0" applyAlignment="1" applyBorder="1" applyFont="1" applyNumberFormat="1">
      <alignment horizontal="center"/>
    </xf>
    <xf borderId="25" fillId="0" fontId="15" numFmtId="0" xfId="0" applyAlignment="1" applyBorder="1" applyFont="1">
      <alignment horizontal="center"/>
    </xf>
    <xf borderId="48" fillId="10" fontId="11" numFmtId="0" xfId="0" applyBorder="1" applyFont="1"/>
    <xf borderId="5" fillId="5" fontId="11" numFmtId="4" xfId="0" applyAlignment="1" applyBorder="1" applyFont="1" applyNumberFormat="1">
      <alignment horizontal="center"/>
    </xf>
    <xf borderId="4" fillId="5" fontId="11" numFmtId="2" xfId="0" applyAlignment="1" applyBorder="1" applyFont="1" applyNumberFormat="1">
      <alignment horizontal="center"/>
    </xf>
    <xf borderId="27" fillId="0" fontId="11" numFmtId="0" xfId="0" applyAlignment="1" applyBorder="1" applyFont="1">
      <alignment horizontal="center"/>
    </xf>
    <xf borderId="46" fillId="16" fontId="11" numFmtId="0" xfId="0" applyAlignment="1" applyBorder="1" applyFont="1">
      <alignment horizontal="center" shrinkToFit="0" vertical="center" wrapText="1"/>
    </xf>
    <xf borderId="12" fillId="2" fontId="11" numFmtId="0" xfId="0" applyBorder="1" applyFont="1"/>
    <xf borderId="5" fillId="2" fontId="11" numFmtId="1" xfId="0" applyAlignment="1" applyBorder="1" applyFont="1" applyNumberFormat="1">
      <alignment horizontal="center"/>
    </xf>
    <xf borderId="0" fillId="0" fontId="15" numFmtId="0" xfId="0" applyAlignment="1" applyFont="1">
      <alignment shrinkToFit="0" wrapText="1"/>
    </xf>
    <xf borderId="4" fillId="0" fontId="15" numFmtId="0" xfId="0" applyAlignment="1" applyBorder="1" applyFont="1">
      <alignment horizontal="center" shrinkToFit="0" wrapText="1"/>
    </xf>
    <xf borderId="0" fillId="0" fontId="15" numFmtId="164" xfId="0" applyFont="1" applyNumberFormat="1"/>
    <xf borderId="12" fillId="11" fontId="11" numFmtId="0" xfId="0" applyAlignment="1" applyBorder="1" applyFont="1">
      <alignment shrinkToFit="0" wrapText="1"/>
    </xf>
    <xf borderId="12" fillId="11" fontId="11" numFmtId="0" xfId="0" applyBorder="1" applyFont="1"/>
    <xf borderId="49" fillId="0" fontId="10" numFmtId="0" xfId="0" applyBorder="1" applyFont="1"/>
    <xf borderId="21" fillId="0" fontId="9" numFmtId="0" xfId="0" applyBorder="1" applyFont="1"/>
    <xf borderId="50" fillId="0" fontId="3" numFmtId="0" xfId="0" applyBorder="1" applyFont="1"/>
    <xf borderId="19" fillId="0" fontId="9" numFmtId="0" xfId="0" applyAlignment="1" applyBorder="1" applyFont="1">
      <alignment horizontal="center"/>
    </xf>
    <xf borderId="51" fillId="0" fontId="10" numFmtId="0" xfId="0" applyBorder="1" applyFont="1"/>
    <xf borderId="22" fillId="0" fontId="3" numFmtId="0" xfId="0" applyBorder="1" applyFont="1"/>
    <xf borderId="2" fillId="16" fontId="12" numFmtId="0" xfId="0" applyAlignment="1" applyBorder="1" applyFont="1">
      <alignment horizontal="center" shrinkToFit="0" wrapText="1"/>
    </xf>
    <xf borderId="23" fillId="0" fontId="2" numFmtId="0" xfId="0" applyAlignment="1" applyBorder="1" applyFont="1">
      <alignment horizontal="center" shrinkToFit="0" wrapText="1"/>
    </xf>
    <xf borderId="52" fillId="0" fontId="10" numFmtId="0" xfId="0" applyBorder="1" applyFont="1"/>
    <xf borderId="26" fillId="0" fontId="3" numFmtId="0" xfId="0" applyBorder="1" applyFont="1"/>
    <xf borderId="21" fillId="0" fontId="17" numFmtId="0" xfId="0" applyAlignment="1" applyBorder="1" applyFont="1">
      <alignment horizontal="center" shrinkToFit="0" vertical="center" wrapText="1"/>
    </xf>
    <xf borderId="50" fillId="0" fontId="10" numFmtId="0" xfId="0" applyBorder="1" applyFont="1"/>
    <xf borderId="4" fillId="13" fontId="12" numFmtId="164" xfId="0" applyAlignment="1" applyBorder="1" applyFont="1" applyNumberFormat="1">
      <alignment horizontal="center"/>
    </xf>
    <xf borderId="10" fillId="0" fontId="10" numFmtId="0" xfId="0" applyBorder="1" applyFont="1"/>
    <xf borderId="0" fillId="0" fontId="17" numFmtId="0" xfId="0" applyFont="1"/>
    <xf borderId="0" fillId="0" fontId="2" numFmtId="0" xfId="0" applyAlignment="1" applyFont="1">
      <alignment shrinkToFit="0" wrapText="1"/>
    </xf>
    <xf borderId="53" fillId="0" fontId="10" numFmtId="0" xfId="0" applyBorder="1" applyFont="1"/>
    <xf borderId="25" fillId="0" fontId="12" numFmtId="0" xfId="0" applyAlignment="1" applyBorder="1" applyFont="1">
      <alignment horizontal="center" shrinkToFit="0" wrapText="1"/>
    </xf>
    <xf borderId="33" fillId="0" fontId="9" numFmtId="0" xfId="0" applyAlignment="1" applyBorder="1" applyFont="1">
      <alignment horizontal="center"/>
    </xf>
    <xf borderId="21" fillId="0" fontId="9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shrinkToFit="0" wrapText="1"/>
    </xf>
    <xf borderId="5" fillId="0" fontId="12" numFmtId="0" xfId="0" applyBorder="1" applyFont="1"/>
    <xf borderId="5" fillId="0" fontId="3" numFmtId="0" xfId="0" applyBorder="1" applyFont="1"/>
    <xf borderId="5" fillId="16" fontId="18" numFmtId="0" xfId="0" applyAlignment="1" applyBorder="1" applyFont="1">
      <alignment horizontal="center" shrinkToFit="0" wrapText="1"/>
    </xf>
    <xf borderId="33" fillId="0" fontId="18" numFmtId="0" xfId="0" applyAlignment="1" applyBorder="1" applyFont="1">
      <alignment horizontal="center" shrinkToFit="0" wrapText="1"/>
    </xf>
    <xf borderId="54" fillId="16" fontId="18" numFmtId="0" xfId="0" applyAlignment="1" applyBorder="1" applyFont="1">
      <alignment horizontal="center" shrinkToFit="0" wrapText="1"/>
    </xf>
    <xf borderId="0" fillId="0" fontId="19" numFmtId="0" xfId="0" applyAlignment="1" applyFont="1">
      <alignment shrinkToFit="0" vertical="center" wrapText="1"/>
    </xf>
    <xf borderId="0" fillId="0" fontId="19" numFmtId="0" xfId="0" applyFont="1"/>
    <xf borderId="37" fillId="0" fontId="17" numFmtId="0" xfId="0" applyBorder="1" applyFont="1"/>
    <xf borderId="42" fillId="13" fontId="3" numFmtId="10" xfId="0" applyAlignment="1" applyBorder="1" applyFont="1" applyNumberFormat="1">
      <alignment horizontal="center"/>
    </xf>
    <xf borderId="42" fillId="5" fontId="3" numFmtId="164" xfId="0" applyAlignment="1" applyBorder="1" applyFont="1" applyNumberFormat="1">
      <alignment horizontal="center"/>
    </xf>
    <xf borderId="5" fillId="2" fontId="3" numFmtId="164" xfId="0" applyAlignment="1" applyBorder="1" applyFont="1" applyNumberFormat="1">
      <alignment horizontal="center"/>
    </xf>
    <xf borderId="5" fillId="5" fontId="3" numFmtId="164" xfId="0" applyAlignment="1" applyBorder="1" applyFont="1" applyNumberFormat="1">
      <alignment horizontal="center"/>
    </xf>
    <xf borderId="0" fillId="0" fontId="3" numFmtId="164" xfId="0" applyAlignment="1" applyFont="1" applyNumberFormat="1">
      <alignment horizontal="center"/>
    </xf>
    <xf borderId="34" fillId="0" fontId="17" numFmtId="0" xfId="0" applyBorder="1" applyFont="1"/>
    <xf borderId="55" fillId="5" fontId="3" numFmtId="164" xfId="0" applyAlignment="1" applyBorder="1" applyFont="1" applyNumberFormat="1">
      <alignment horizontal="center"/>
    </xf>
    <xf borderId="55" fillId="2" fontId="3" numFmtId="164" xfId="0" applyAlignment="1" applyBorder="1" applyFont="1" applyNumberFormat="1">
      <alignment horizontal="center"/>
    </xf>
    <xf borderId="5" fillId="0" fontId="17" numFmtId="0" xfId="0" applyBorder="1" applyFont="1"/>
    <xf borderId="0" fillId="0" fontId="4" numFmtId="9" xfId="0" applyFont="1" applyNumberFormat="1"/>
    <xf borderId="0" fillId="0" fontId="18" numFmtId="0" xfId="0" applyAlignment="1" applyFont="1">
      <alignment shrinkToFit="0" wrapText="1"/>
    </xf>
    <xf borderId="0" fillId="0" fontId="4" numFmtId="166" xfId="0" applyAlignment="1" applyFont="1" applyNumberFormat="1">
      <alignment horizontal="center"/>
    </xf>
    <xf borderId="0" fillId="0" fontId="4" numFmtId="166" xfId="0" applyFont="1" applyNumberFormat="1"/>
    <xf borderId="0" fillId="0" fontId="4" numFmtId="9" xfId="0" applyAlignment="1" applyFont="1" applyNumberFormat="1">
      <alignment horizontal="center" shrinkToFit="0" wrapText="1"/>
    </xf>
    <xf borderId="55" fillId="13" fontId="3" numFmtId="10" xfId="0" applyAlignment="1" applyBorder="1" applyFont="1" applyNumberFormat="1">
      <alignment horizontal="center"/>
    </xf>
    <xf borderId="27" fillId="0" fontId="3" numFmtId="0" xfId="0" applyBorder="1" applyFont="1"/>
    <xf borderId="5" fillId="5" fontId="3" numFmtId="10" xfId="0" applyAlignment="1" applyBorder="1" applyFont="1" applyNumberFormat="1">
      <alignment horizontal="center"/>
    </xf>
    <xf borderId="56" fillId="5" fontId="3" numFmtId="164" xfId="0" applyAlignment="1" applyBorder="1" applyFont="1" applyNumberFormat="1">
      <alignment horizontal="center"/>
    </xf>
    <xf borderId="27" fillId="0" fontId="3" numFmtId="0" xfId="0" applyAlignment="1" applyBorder="1" applyFont="1">
      <alignment horizontal="center"/>
    </xf>
    <xf borderId="53" fillId="0" fontId="3" numFmtId="10" xfId="0" applyBorder="1" applyFont="1" applyNumberFormat="1"/>
    <xf borderId="53" fillId="0" fontId="3" numFmtId="164" xfId="0" applyBorder="1" applyFont="1" applyNumberFormat="1"/>
    <xf borderId="53" fillId="0" fontId="3" numFmtId="0" xfId="0" applyBorder="1" applyFont="1"/>
    <xf borderId="28" fillId="0" fontId="3" numFmtId="164" xfId="0" applyBorder="1" applyFont="1" applyNumberFormat="1"/>
    <xf borderId="0" fillId="0" fontId="20" numFmtId="166" xfId="0" applyAlignment="1" applyFont="1" applyNumberFormat="1">
      <alignment horizontal="center"/>
    </xf>
    <xf borderId="0" fillId="0" fontId="3" numFmtId="166" xfId="0" applyFont="1" applyNumberFormat="1"/>
    <xf borderId="0" fillId="0" fontId="20" numFmtId="9" xfId="0" applyAlignment="1" applyFont="1" applyNumberFormat="1">
      <alignment horizontal="center" shrinkToFit="0" wrapText="1"/>
    </xf>
    <xf borderId="33" fillId="0" fontId="4" numFmtId="0" xfId="0" applyBorder="1" applyFont="1"/>
    <xf borderId="21" fillId="0" fontId="21" numFmtId="0" xfId="0" applyAlignment="1" applyBorder="1" applyFont="1">
      <alignment horizontal="center"/>
    </xf>
    <xf borderId="4" fillId="0" fontId="19" numFmtId="0" xfId="0" applyAlignment="1" applyBorder="1" applyFont="1">
      <alignment horizontal="center"/>
    </xf>
    <xf borderId="34" fillId="0" fontId="4" numFmtId="0" xfId="0" applyBorder="1" applyFont="1"/>
    <xf borderId="19" fillId="2" fontId="19" numFmtId="0" xfId="0" applyAlignment="1" applyBorder="1" applyFont="1">
      <alignment horizontal="center"/>
    </xf>
    <xf borderId="43" fillId="0" fontId="4" numFmtId="0" xfId="0" applyAlignment="1" applyBorder="1" applyFont="1">
      <alignment horizontal="center"/>
    </xf>
    <xf borderId="57" fillId="0" fontId="10" numFmtId="0" xfId="0" applyBorder="1" applyFont="1"/>
    <xf borderId="58" fillId="0" fontId="10" numFmtId="0" xfId="0" applyBorder="1" applyFont="1"/>
    <xf borderId="59" fillId="0" fontId="4" numFmtId="0" xfId="0" applyBorder="1" applyFont="1"/>
    <xf borderId="60" fillId="0" fontId="4" numFmtId="0" xfId="0" applyBorder="1" applyFont="1"/>
    <xf borderId="61" fillId="0" fontId="4" numFmtId="0" xfId="0" applyBorder="1" applyFont="1"/>
    <xf borderId="37" fillId="0" fontId="4" numFmtId="0" xfId="0" applyBorder="1" applyFont="1"/>
    <xf borderId="62" fillId="0" fontId="4" numFmtId="0" xfId="0" applyBorder="1" applyFont="1"/>
    <xf borderId="63" fillId="0" fontId="4" numFmtId="0" xfId="0" applyBorder="1" applyFont="1"/>
    <xf borderId="64" fillId="0" fontId="4" numFmtId="0" xfId="0" applyBorder="1" applyFont="1"/>
    <xf borderId="65" fillId="0" fontId="4" numFmtId="0" xfId="0" applyBorder="1" applyFont="1"/>
    <xf borderId="8" fillId="0" fontId="4" numFmtId="0" xfId="0" applyBorder="1" applyFont="1"/>
    <xf borderId="63" fillId="5" fontId="4" numFmtId="10" xfId="0" applyAlignment="1" applyBorder="1" applyFont="1" applyNumberFormat="1">
      <alignment horizontal="center"/>
    </xf>
    <xf borderId="64" fillId="5" fontId="4" numFmtId="10" xfId="0" applyAlignment="1" applyBorder="1" applyFont="1" applyNumberFormat="1">
      <alignment horizontal="center"/>
    </xf>
    <xf borderId="66" fillId="0" fontId="4" numFmtId="0" xfId="0" applyBorder="1" applyFont="1"/>
    <xf borderId="62" fillId="5" fontId="4" numFmtId="166" xfId="0" applyBorder="1" applyFont="1" applyNumberFormat="1"/>
    <xf borderId="63" fillId="2" fontId="4" numFmtId="166" xfId="0" applyAlignment="1" applyBorder="1" applyFont="1" applyNumberFormat="1">
      <alignment horizontal="center"/>
    </xf>
    <xf borderId="64" fillId="2" fontId="4" numFmtId="166" xfId="0" applyAlignment="1" applyBorder="1" applyFont="1" applyNumberFormat="1">
      <alignment horizontal="center"/>
    </xf>
    <xf borderId="13" fillId="5" fontId="4" numFmtId="166" xfId="0" applyAlignment="1" applyBorder="1" applyFont="1" applyNumberFormat="1">
      <alignment horizontal="center"/>
    </xf>
    <xf borderId="63" fillId="2" fontId="3" numFmtId="166" xfId="0" applyAlignment="1" applyBorder="1" applyFont="1" applyNumberFormat="1">
      <alignment horizontal="center"/>
    </xf>
    <xf borderId="67" fillId="2" fontId="4" numFmtId="166" xfId="0" applyAlignment="1" applyBorder="1" applyFont="1" applyNumberFormat="1">
      <alignment horizontal="center"/>
    </xf>
    <xf borderId="63" fillId="5" fontId="4" numFmtId="166" xfId="0" applyBorder="1" applyFont="1" applyNumberFormat="1"/>
    <xf borderId="64" fillId="5" fontId="4" numFmtId="166" xfId="0" applyBorder="1" applyFont="1" applyNumberFormat="1"/>
    <xf borderId="9" fillId="0" fontId="4" numFmtId="0" xfId="0" applyBorder="1" applyFont="1"/>
    <xf borderId="64" fillId="5" fontId="4" numFmtId="10" xfId="0" applyAlignment="1" applyBorder="1" applyFont="1" applyNumberFormat="1">
      <alignment horizontal="center" readingOrder="0"/>
    </xf>
    <xf borderId="63" fillId="15" fontId="3" numFmtId="166" xfId="0" applyAlignment="1" applyBorder="1" applyFont="1" applyNumberFormat="1">
      <alignment horizontal="center"/>
    </xf>
    <xf borderId="67" fillId="15" fontId="4" numFmtId="166" xfId="0" applyAlignment="1" applyBorder="1" applyFont="1" applyNumberFormat="1">
      <alignment horizontal="center"/>
    </xf>
    <xf borderId="15" fillId="0" fontId="4" numFmtId="0" xfId="0" applyBorder="1" applyFont="1"/>
    <xf borderId="68" fillId="2" fontId="4" numFmtId="166" xfId="0" applyAlignment="1" applyBorder="1" applyFont="1" applyNumberFormat="1">
      <alignment horizontal="center"/>
    </xf>
    <xf borderId="69" fillId="2" fontId="4" numFmtId="166" xfId="0" applyAlignment="1" applyBorder="1" applyFont="1" applyNumberFormat="1">
      <alignment horizontal="center"/>
    </xf>
    <xf borderId="70" fillId="2" fontId="4" numFmtId="166" xfId="0" applyAlignment="1" applyBorder="1" applyFont="1" applyNumberFormat="1">
      <alignment horizontal="center"/>
    </xf>
    <xf borderId="71" fillId="0" fontId="4" numFmtId="0" xfId="0" applyBorder="1" applyFont="1"/>
    <xf borderId="72" fillId="0" fontId="4" numFmtId="10" xfId="0" applyBorder="1" applyFont="1" applyNumberFormat="1"/>
    <xf borderId="72" fillId="0" fontId="4" numFmtId="10" xfId="0" applyAlignment="1" applyBorder="1" applyFont="1" applyNumberFormat="1">
      <alignment horizontal="center"/>
    </xf>
    <xf borderId="73" fillId="0" fontId="4" numFmtId="10" xfId="0" applyAlignment="1" applyBorder="1" applyFont="1" applyNumberFormat="1">
      <alignment horizontal="center"/>
    </xf>
    <xf borderId="71" fillId="5" fontId="4" numFmtId="166" xfId="0" applyBorder="1" applyFont="1" applyNumberFormat="1"/>
    <xf borderId="74" fillId="5" fontId="4" numFmtId="166" xfId="0" applyAlignment="1" applyBorder="1" applyFont="1" applyNumberFormat="1">
      <alignment horizontal="center"/>
    </xf>
    <xf borderId="75" fillId="5" fontId="4" numFmtId="166" xfId="0" applyAlignment="1" applyBorder="1" applyFont="1" applyNumberFormat="1">
      <alignment horizontal="center"/>
    </xf>
    <xf borderId="53" fillId="0" fontId="4" numFmtId="0" xfId="0" applyAlignment="1" applyBorder="1" applyFont="1">
      <alignment horizontal="center"/>
    </xf>
    <xf borderId="71" fillId="5" fontId="4" numFmtId="166" xfId="0" applyAlignment="1" applyBorder="1" applyFont="1" applyNumberFormat="1">
      <alignment horizontal="center"/>
    </xf>
    <xf borderId="76" fillId="5" fontId="4" numFmtId="166" xfId="0" applyAlignment="1" applyBorder="1" applyFont="1" applyNumberFormat="1">
      <alignment horizontal="center"/>
    </xf>
    <xf borderId="14" fillId="5" fontId="4" numFmtId="166" xfId="0" applyAlignment="1" applyBorder="1" applyFont="1" applyNumberFormat="1">
      <alignment horizontal="center"/>
    </xf>
    <xf borderId="53" fillId="0" fontId="4" numFmtId="0" xfId="0" applyBorder="1" applyFont="1"/>
    <xf borderId="72" fillId="5" fontId="4" numFmtId="166" xfId="0" applyBorder="1" applyFont="1" applyNumberFormat="1"/>
    <xf borderId="73" fillId="5" fontId="4" numFmtId="166" xfId="0" applyBorder="1" applyFont="1" applyNumberFormat="1"/>
    <xf borderId="21" fillId="0" fontId="4" numFmtId="0" xfId="0" applyAlignment="1" applyBorder="1" applyFont="1">
      <alignment horizontal="center"/>
    </xf>
    <xf borderId="77" fillId="0" fontId="10" numFmtId="0" xfId="0" applyBorder="1" applyFont="1"/>
    <xf borderId="78" fillId="4" fontId="20" numFmtId="10" xfId="0" applyAlignment="1" applyBorder="1" applyFont="1" applyNumberFormat="1">
      <alignment horizontal="center"/>
    </xf>
    <xf borderId="79" fillId="4" fontId="20" numFmtId="10" xfId="0" applyAlignment="1" applyBorder="1" applyFont="1" applyNumberFormat="1">
      <alignment horizontal="center"/>
    </xf>
    <xf borderId="4" fillId="0" fontId="4" numFmtId="0" xfId="0" applyAlignment="1" applyBorder="1" applyFont="1">
      <alignment horizontal="center"/>
    </xf>
    <xf borderId="80" fillId="0" fontId="10" numFmtId="0" xfId="0" applyBorder="1" applyFont="1"/>
    <xf borderId="74" fillId="0" fontId="4" numFmtId="164" xfId="0" applyAlignment="1" applyBorder="1" applyFont="1" applyNumberFormat="1">
      <alignment horizontal="center"/>
    </xf>
    <xf borderId="75" fillId="0" fontId="4" numFmtId="164" xfId="0" applyAlignment="1" applyBorder="1" applyFont="1" applyNumberFormat="1">
      <alignment horizontal="center"/>
    </xf>
    <xf borderId="0" fillId="0" fontId="21" numFmtId="0" xfId="0" applyFont="1"/>
    <xf borderId="4" fillId="0" fontId="22" numFmtId="0" xfId="0" applyAlignment="1" applyBorder="1" applyFont="1">
      <alignment horizontal="center"/>
    </xf>
    <xf borderId="33" fillId="0" fontId="18" numFmtId="0" xfId="0" applyAlignment="1" applyBorder="1" applyFont="1">
      <alignment horizontal="center" shrinkToFit="0" vertical="center" wrapText="1"/>
    </xf>
    <xf borderId="21" fillId="0" fontId="12" numFmtId="0" xfId="0" applyAlignment="1" applyBorder="1" applyFont="1">
      <alignment horizontal="center" shrinkToFit="0" vertical="center" wrapText="1"/>
    </xf>
    <xf borderId="25" fillId="0" fontId="3" numFmtId="0" xfId="0" applyBorder="1" applyFont="1"/>
    <xf borderId="25" fillId="0" fontId="18" numFmtId="0" xfId="0" applyAlignment="1" applyBorder="1" applyFont="1">
      <alignment horizontal="center"/>
    </xf>
    <xf borderId="0" fillId="0" fontId="18" numFmtId="0" xfId="0" applyAlignment="1" applyFont="1">
      <alignment horizontal="center"/>
    </xf>
    <xf borderId="26" fillId="0" fontId="18" numFmtId="0" xfId="0" applyAlignment="1" applyBorder="1" applyFont="1">
      <alignment horizontal="center"/>
    </xf>
    <xf borderId="0" fillId="0" fontId="18" numFmtId="0" xfId="0" applyFont="1"/>
    <xf borderId="34" fillId="0" fontId="3" numFmtId="0" xfId="0" applyAlignment="1" applyBorder="1" applyFont="1">
      <alignment shrinkToFit="0" wrapText="1"/>
    </xf>
    <xf borderId="81" fillId="2" fontId="3" numFmtId="9" xfId="0" applyAlignment="1" applyBorder="1" applyFont="1" applyNumberFormat="1">
      <alignment horizontal="center"/>
    </xf>
    <xf borderId="82" fillId="2" fontId="3" numFmtId="9" xfId="0" applyAlignment="1" applyBorder="1" applyFont="1" applyNumberFormat="1">
      <alignment horizontal="center"/>
    </xf>
    <xf borderId="83" fillId="2" fontId="3" numFmtId="9" xfId="0" applyAlignment="1" applyBorder="1" applyFont="1" applyNumberFormat="1">
      <alignment horizontal="center"/>
    </xf>
    <xf borderId="66" fillId="5" fontId="3" numFmtId="9" xfId="0" applyAlignment="1" applyBorder="1" applyFont="1" applyNumberFormat="1">
      <alignment horizontal="center"/>
    </xf>
    <xf borderId="8" fillId="4" fontId="6" numFmtId="10" xfId="0" applyAlignment="1" applyBorder="1" applyFont="1" applyNumberFormat="1">
      <alignment horizontal="center" vertical="center"/>
    </xf>
    <xf borderId="84" fillId="0" fontId="10" numFmtId="0" xfId="0" applyBorder="1" applyFont="1"/>
    <xf borderId="62" fillId="2" fontId="3" numFmtId="9" xfId="0" applyAlignment="1" applyBorder="1" applyFont="1" applyNumberFormat="1">
      <alignment horizontal="center"/>
    </xf>
    <xf borderId="63" fillId="2" fontId="3" numFmtId="9" xfId="0" applyAlignment="1" applyBorder="1" applyFont="1" applyNumberFormat="1">
      <alignment horizontal="center"/>
    </xf>
    <xf borderId="64" fillId="2" fontId="3" numFmtId="9" xfId="0" applyAlignment="1" applyBorder="1" applyFont="1" applyNumberFormat="1">
      <alignment horizontal="center"/>
    </xf>
    <xf borderId="9" fillId="5" fontId="3" numFmtId="9" xfId="0" applyAlignment="1" applyBorder="1" applyFont="1" applyNumberFormat="1">
      <alignment horizontal="center"/>
    </xf>
    <xf borderId="85" fillId="4" fontId="6" numFmtId="10" xfId="0" applyAlignment="1" applyBorder="1" applyFont="1" applyNumberFormat="1">
      <alignment horizontal="center" vertical="center"/>
    </xf>
    <xf borderId="86" fillId="0" fontId="10" numFmtId="0" xfId="0" applyBorder="1" applyFont="1"/>
    <xf borderId="71" fillId="2" fontId="3" numFmtId="9" xfId="0" applyAlignment="1" applyBorder="1" applyFont="1" applyNumberFormat="1">
      <alignment horizontal="center"/>
    </xf>
    <xf borderId="72" fillId="2" fontId="3" numFmtId="9" xfId="0" applyAlignment="1" applyBorder="1" applyFont="1" applyNumberFormat="1">
      <alignment horizontal="center"/>
    </xf>
    <xf borderId="73" fillId="2" fontId="3" numFmtId="9" xfId="0" applyAlignment="1" applyBorder="1" applyFont="1" applyNumberFormat="1">
      <alignment horizontal="center"/>
    </xf>
    <xf borderId="15" fillId="5" fontId="3" numFmtId="9" xfId="0" applyAlignment="1" applyBorder="1" applyFont="1" applyNumberFormat="1">
      <alignment horizontal="center"/>
    </xf>
    <xf borderId="23" fillId="4" fontId="6" numFmtId="10" xfId="0" applyAlignment="1" applyBorder="1" applyFont="1" applyNumberFormat="1">
      <alignment horizontal="center" vertical="center"/>
    </xf>
    <xf borderId="25" fillId="0" fontId="3" numFmtId="9" xfId="0" applyAlignment="1" applyBorder="1" applyFont="1" applyNumberFormat="1">
      <alignment horizontal="center"/>
    </xf>
    <xf borderId="0" fillId="0" fontId="3" numFmtId="9" xfId="0" applyAlignment="1" applyFont="1" applyNumberFormat="1">
      <alignment horizontal="center"/>
    </xf>
    <xf borderId="26" fillId="0" fontId="3" numFmtId="9" xfId="0" applyAlignment="1" applyBorder="1" applyFont="1" applyNumberFormat="1">
      <alignment horizontal="center"/>
    </xf>
    <xf borderId="34" fillId="0" fontId="3" numFmtId="0" xfId="0" applyBorder="1" applyFont="1"/>
    <xf borderId="25" fillId="0" fontId="3" numFmtId="0" xfId="0" applyAlignment="1" applyBorder="1" applyFont="1">
      <alignment horizontal="center"/>
    </xf>
    <xf borderId="26" fillId="0" fontId="3" numFmtId="0" xfId="0" applyAlignment="1" applyBorder="1" applyFont="1">
      <alignment horizontal="center"/>
    </xf>
    <xf borderId="21" fillId="0" fontId="3" numFmtId="0" xfId="0" applyAlignment="1" applyBorder="1" applyFont="1">
      <alignment horizontal="center" shrinkToFit="0" vertical="center" wrapText="1"/>
    </xf>
    <xf borderId="81" fillId="2" fontId="3" numFmtId="164" xfId="0" applyAlignment="1" applyBorder="1" applyFont="1" applyNumberFormat="1">
      <alignment horizontal="center"/>
    </xf>
    <xf borderId="82" fillId="2" fontId="3" numFmtId="164" xfId="0" applyAlignment="1" applyBorder="1" applyFont="1" applyNumberFormat="1">
      <alignment horizontal="center"/>
    </xf>
    <xf borderId="83" fillId="2" fontId="3" numFmtId="164" xfId="0" applyAlignment="1" applyBorder="1" applyFont="1" applyNumberFormat="1">
      <alignment horizontal="center"/>
    </xf>
    <xf borderId="66" fillId="5" fontId="3" numFmtId="167" xfId="0" applyAlignment="1" applyBorder="1" applyFont="1" applyNumberFormat="1">
      <alignment horizontal="center"/>
    </xf>
    <xf borderId="0" fillId="0" fontId="9" numFmtId="0" xfId="0" applyAlignment="1" applyFont="1">
      <alignment horizontal="center"/>
    </xf>
    <xf borderId="63" fillId="2" fontId="3" numFmtId="0" xfId="0" applyBorder="1" applyFont="1"/>
    <xf borderId="0" fillId="0" fontId="9" numFmtId="0" xfId="0" applyFont="1"/>
    <xf borderId="21" fillId="0" fontId="18" numFmtId="0" xfId="0" applyAlignment="1" applyBorder="1" applyFont="1">
      <alignment horizontal="center"/>
    </xf>
    <xf borderId="21" fillId="0" fontId="18" numFmtId="0" xfId="0" applyBorder="1" applyFont="1"/>
    <xf borderId="66" fillId="13" fontId="18" numFmtId="164" xfId="0" applyAlignment="1" applyBorder="1" applyFont="1" applyNumberFormat="1">
      <alignment horizontal="center"/>
    </xf>
    <xf borderId="87" fillId="0" fontId="3" numFmtId="0" xfId="0" applyAlignment="1" applyBorder="1" applyFont="1">
      <alignment horizontal="center"/>
    </xf>
    <xf borderId="65" fillId="0" fontId="18" numFmtId="0" xfId="0" applyAlignment="1" applyBorder="1" applyFont="1">
      <alignment horizontal="center"/>
    </xf>
    <xf borderId="81" fillId="0" fontId="18" numFmtId="0" xfId="0" applyAlignment="1" applyBorder="1" applyFont="1">
      <alignment horizontal="center"/>
    </xf>
    <xf borderId="82" fillId="0" fontId="18" numFmtId="0" xfId="0" applyAlignment="1" applyBorder="1" applyFont="1">
      <alignment horizontal="center"/>
    </xf>
    <xf borderId="83" fillId="0" fontId="18" numFmtId="0" xfId="0" applyAlignment="1" applyBorder="1" applyFont="1">
      <alignment horizontal="center"/>
    </xf>
    <xf borderId="5" fillId="8" fontId="18" numFmtId="0" xfId="0" applyAlignment="1" applyBorder="1" applyFont="1">
      <alignment shrinkToFit="0" wrapText="1"/>
    </xf>
    <xf borderId="5" fillId="13" fontId="18" numFmtId="164" xfId="0" applyAlignment="1" applyBorder="1" applyFont="1" applyNumberFormat="1">
      <alignment horizontal="center"/>
    </xf>
    <xf borderId="27" fillId="0" fontId="18" numFmtId="0" xfId="0" applyBorder="1" applyFont="1"/>
    <xf borderId="15" fillId="5" fontId="3" numFmtId="164" xfId="0" applyAlignment="1" applyBorder="1" applyFont="1" applyNumberFormat="1">
      <alignment horizontal="center"/>
    </xf>
    <xf borderId="57" fillId="0" fontId="18" numFmtId="0" xfId="0" applyAlignment="1" applyBorder="1" applyFont="1">
      <alignment horizontal="center"/>
    </xf>
    <xf borderId="5" fillId="13" fontId="18" numFmtId="9" xfId="0" applyAlignment="1" applyBorder="1" applyFont="1" applyNumberFormat="1">
      <alignment horizontal="center"/>
    </xf>
    <xf borderId="62" fillId="0" fontId="12" numFmtId="2" xfId="0" applyAlignment="1" applyBorder="1" applyFont="1" applyNumberFormat="1">
      <alignment horizontal="center"/>
    </xf>
    <xf borderId="63" fillId="0" fontId="12" numFmtId="2" xfId="0" applyAlignment="1" applyBorder="1" applyFont="1" applyNumberFormat="1">
      <alignment horizontal="center"/>
    </xf>
    <xf borderId="64" fillId="0" fontId="12" numFmtId="2" xfId="0" applyAlignment="1" applyBorder="1" applyFont="1" applyNumberFormat="1">
      <alignment horizontal="center"/>
    </xf>
    <xf borderId="4" fillId="0" fontId="18" numFmtId="0" xfId="0" applyBorder="1" applyFont="1"/>
    <xf borderId="56" fillId="5" fontId="3" numFmtId="3" xfId="0" applyAlignment="1" applyBorder="1" applyFont="1" applyNumberFormat="1">
      <alignment horizontal="center"/>
    </xf>
    <xf borderId="88" fillId="0" fontId="3" numFmtId="0" xfId="0" applyAlignment="1" applyBorder="1" applyFont="1">
      <alignment horizontal="center"/>
    </xf>
    <xf borderId="5" fillId="5" fontId="3" numFmtId="3" xfId="0" applyAlignment="1" applyBorder="1" applyFont="1" applyNumberFormat="1">
      <alignment horizontal="center"/>
    </xf>
    <xf borderId="12" fillId="18" fontId="18" numFmtId="164" xfId="0" applyAlignment="1" applyBorder="1" applyFill="1" applyFont="1" applyNumberFormat="1">
      <alignment shrinkToFit="0" wrapText="1"/>
    </xf>
    <xf borderId="89" fillId="0" fontId="18" numFmtId="0" xfId="0" applyAlignment="1" applyBorder="1" applyFont="1">
      <alignment horizontal="center"/>
    </xf>
    <xf borderId="62" fillId="0" fontId="18" numFmtId="0" xfId="0" applyBorder="1" applyFont="1"/>
    <xf borderId="5" fillId="4" fontId="23" numFmtId="0" xfId="0" applyBorder="1" applyFont="1"/>
    <xf borderId="63" fillId="0" fontId="18" numFmtId="0" xfId="0" applyBorder="1" applyFont="1"/>
    <xf borderId="56" fillId="5" fontId="3" numFmtId="1" xfId="0" applyAlignment="1" applyBorder="1" applyFont="1" applyNumberFormat="1">
      <alignment horizontal="center"/>
    </xf>
    <xf borderId="5" fillId="5" fontId="3" numFmtId="1" xfId="0" applyAlignment="1" applyBorder="1" applyFont="1" applyNumberFormat="1">
      <alignment horizontal="center"/>
    </xf>
    <xf borderId="5" fillId="0" fontId="18" numFmtId="0" xfId="0" applyBorder="1" applyFont="1"/>
    <xf borderId="5" fillId="13" fontId="18" numFmtId="10" xfId="0" applyAlignment="1" applyBorder="1" applyFont="1" applyNumberFormat="1">
      <alignment horizontal="center"/>
    </xf>
    <xf borderId="9" fillId="5" fontId="3" numFmtId="164" xfId="0" applyAlignment="1" applyBorder="1" applyFont="1" applyNumberFormat="1">
      <alignment horizontal="center"/>
    </xf>
    <xf borderId="0" fillId="0" fontId="18" numFmtId="10" xfId="0" applyAlignment="1" applyFont="1" applyNumberFormat="1">
      <alignment horizontal="center"/>
    </xf>
    <xf borderId="42" fillId="5" fontId="3" numFmtId="1" xfId="0" applyAlignment="1" applyBorder="1" applyFont="1" applyNumberFormat="1">
      <alignment horizontal="center"/>
    </xf>
    <xf borderId="57" fillId="0" fontId="3" numFmtId="0" xfId="0" applyAlignment="1" applyBorder="1" applyFont="1">
      <alignment horizontal="center"/>
    </xf>
    <xf borderId="90" fillId="13" fontId="18" numFmtId="164" xfId="0" applyAlignment="1" applyBorder="1" applyFont="1" applyNumberFormat="1">
      <alignment horizontal="center"/>
    </xf>
    <xf borderId="91" fillId="0" fontId="3" numFmtId="0" xfId="0" applyAlignment="1" applyBorder="1" applyFont="1">
      <alignment horizontal="center"/>
    </xf>
    <xf borderId="25" fillId="0" fontId="18" numFmtId="0" xfId="0" applyBorder="1" applyFont="1"/>
    <xf borderId="70" fillId="5" fontId="3" numFmtId="164" xfId="0" applyAlignment="1" applyBorder="1" applyFont="1" applyNumberFormat="1">
      <alignment horizontal="center"/>
    </xf>
    <xf borderId="88" fillId="0" fontId="18" numFmtId="0" xfId="0" applyAlignment="1" applyBorder="1" applyFont="1">
      <alignment horizontal="center"/>
    </xf>
    <xf borderId="11" fillId="0" fontId="3" numFmtId="0" xfId="0" applyBorder="1" applyFont="1"/>
    <xf borderId="45" fillId="5" fontId="3" numFmtId="1" xfId="0" applyAlignment="1" applyBorder="1" applyFont="1" applyNumberFormat="1">
      <alignment horizontal="center"/>
    </xf>
    <xf borderId="71" fillId="0" fontId="12" numFmtId="2" xfId="0" applyAlignment="1" applyBorder="1" applyFont="1" applyNumberFormat="1">
      <alignment horizontal="center"/>
    </xf>
    <xf borderId="72" fillId="0" fontId="12" numFmtId="2" xfId="0" applyAlignment="1" applyBorder="1" applyFont="1" applyNumberFormat="1">
      <alignment horizontal="center"/>
    </xf>
    <xf borderId="73" fillId="0" fontId="12" numFmtId="2" xfId="0" applyAlignment="1" applyBorder="1" applyFont="1" applyNumberFormat="1">
      <alignment horizontal="center"/>
    </xf>
    <xf borderId="5" fillId="0" fontId="18" numFmtId="0" xfId="0" applyAlignment="1" applyBorder="1" applyFont="1">
      <alignment horizontal="center"/>
    </xf>
    <xf borderId="5" fillId="0" fontId="18" numFmtId="0" xfId="0" applyAlignment="1" applyBorder="1" applyFont="1">
      <alignment horizontal="center" shrinkToFit="0" wrapText="1"/>
    </xf>
    <xf borderId="11" fillId="0" fontId="18" numFmtId="0" xfId="0" applyAlignment="1" applyBorder="1" applyFont="1">
      <alignment horizontal="center" shrinkToFit="0" wrapText="1"/>
    </xf>
    <xf borderId="81" fillId="0" fontId="3" numFmtId="164" xfId="0" applyAlignment="1" applyBorder="1" applyFont="1" applyNumberFormat="1">
      <alignment horizontal="center"/>
    </xf>
    <xf borderId="82" fillId="0" fontId="3" numFmtId="164" xfId="0" applyAlignment="1" applyBorder="1" applyFont="1" applyNumberFormat="1">
      <alignment horizontal="center"/>
    </xf>
    <xf borderId="92" fillId="0" fontId="3" numFmtId="164" xfId="0" applyAlignment="1" applyBorder="1" applyFont="1" applyNumberFormat="1">
      <alignment horizontal="center"/>
    </xf>
    <xf borderId="83" fillId="0" fontId="3" numFmtId="164" xfId="0" applyAlignment="1" applyBorder="1" applyFont="1" applyNumberFormat="1">
      <alignment horizontal="center"/>
    </xf>
    <xf borderId="62" fillId="0" fontId="3" numFmtId="164" xfId="0" applyAlignment="1" applyBorder="1" applyFont="1" applyNumberFormat="1">
      <alignment horizontal="center"/>
    </xf>
    <xf borderId="63" fillId="2" fontId="3" numFmtId="164" xfId="0" applyAlignment="1" applyBorder="1" applyFont="1" applyNumberFormat="1">
      <alignment horizontal="center"/>
    </xf>
    <xf borderId="63" fillId="0" fontId="3" numFmtId="164" xfId="0" applyAlignment="1" applyBorder="1" applyFont="1" applyNumberFormat="1">
      <alignment horizontal="center"/>
    </xf>
    <xf borderId="64" fillId="0" fontId="3" numFmtId="164" xfId="0" applyAlignment="1" applyBorder="1" applyFont="1" applyNumberFormat="1">
      <alignment horizontal="center"/>
    </xf>
    <xf borderId="63" fillId="2" fontId="3" numFmtId="164" xfId="0" applyAlignment="1" applyBorder="1" applyFont="1" applyNumberFormat="1">
      <alignment horizontal="center" readingOrder="0"/>
    </xf>
    <xf borderId="71" fillId="0" fontId="3" numFmtId="164" xfId="0" applyAlignment="1" applyBorder="1" applyFont="1" applyNumberFormat="1">
      <alignment horizontal="center"/>
    </xf>
    <xf borderId="72" fillId="2" fontId="3" numFmtId="164" xfId="0" applyAlignment="1" applyBorder="1" applyFont="1" applyNumberFormat="1">
      <alignment horizontal="center"/>
    </xf>
    <xf borderId="72" fillId="0" fontId="3" numFmtId="164" xfId="0" applyAlignment="1" applyBorder="1" applyFont="1" applyNumberFormat="1">
      <alignment horizontal="center"/>
    </xf>
    <xf borderId="73" fillId="0" fontId="3" numFmtId="164" xfId="0" applyAlignment="1" applyBorder="1" applyFont="1" applyNumberFormat="1">
      <alignment horizontal="center"/>
    </xf>
    <xf borderId="4" fillId="0" fontId="12" numFmtId="0" xfId="0" applyAlignment="1" applyBorder="1" applyFont="1">
      <alignment horizontal="center" shrinkToFit="0" vertical="center" wrapText="1"/>
    </xf>
    <xf borderId="11" fillId="0" fontId="24" numFmtId="168" xfId="0" applyAlignment="1" applyBorder="1" applyFont="1" applyNumberFormat="1">
      <alignment horizontal="center" shrinkToFit="0" wrapText="1"/>
    </xf>
    <xf borderId="5" fillId="0" fontId="24" numFmtId="14" xfId="0" applyAlignment="1" applyBorder="1" applyFont="1" applyNumberFormat="1">
      <alignment horizontal="center" shrinkToFit="0" vertical="center" wrapText="1"/>
    </xf>
    <xf borderId="5" fillId="0" fontId="24" numFmtId="0" xfId="0" applyAlignment="1" applyBorder="1" applyFont="1">
      <alignment horizontal="center" shrinkToFit="0" vertical="center" wrapText="1"/>
    </xf>
    <xf borderId="19" fillId="0" fontId="3" numFmtId="0" xfId="0" applyAlignment="1" applyBorder="1" applyFont="1">
      <alignment horizontal="center"/>
    </xf>
    <xf borderId="93" fillId="0" fontId="10" numFmtId="0" xfId="0" applyBorder="1" applyFont="1"/>
    <xf borderId="61" fillId="0" fontId="3" numFmtId="0" xfId="0" applyBorder="1" applyFont="1"/>
    <xf borderId="59" fillId="0" fontId="3" numFmtId="0" xfId="0" applyBorder="1" applyFont="1"/>
    <xf borderId="8" fillId="0" fontId="3" numFmtId="0" xfId="0" applyAlignment="1" applyBorder="1" applyFont="1">
      <alignment horizontal="center"/>
    </xf>
    <xf borderId="94" fillId="0" fontId="10" numFmtId="0" xfId="0" applyBorder="1" applyFont="1"/>
    <xf borderId="63" fillId="0" fontId="3" numFmtId="0" xfId="0" applyBorder="1" applyFont="1"/>
    <xf borderId="64" fillId="0" fontId="3" numFmtId="0" xfId="0" applyBorder="1" applyFont="1"/>
    <xf borderId="23" fillId="0" fontId="3" numFmtId="0" xfId="0" applyAlignment="1" applyBorder="1" applyFont="1">
      <alignment horizontal="center"/>
    </xf>
    <xf borderId="95" fillId="0" fontId="10" numFmtId="0" xfId="0" applyBorder="1" applyFont="1"/>
    <xf borderId="72" fillId="0" fontId="3" numFmtId="0" xfId="0" applyBorder="1" applyFont="1"/>
    <xf borderId="73" fillId="0" fontId="3" numFmtId="0" xfId="0" applyBorder="1" applyFont="1"/>
    <xf borderId="45" fillId="5" fontId="3" numFmtId="3" xfId="0" applyAlignment="1" applyBorder="1" applyFont="1" applyNumberFormat="1">
      <alignment horizontal="center"/>
    </xf>
    <xf borderId="72" fillId="0" fontId="18" numFmtId="0" xfId="0" applyBorder="1" applyFont="1"/>
    <xf borderId="4" fillId="0" fontId="18" numFmtId="0" xfId="0" applyAlignment="1" applyBorder="1" applyFont="1">
      <alignment horizontal="center"/>
    </xf>
    <xf borderId="0" fillId="0" fontId="3" numFmtId="4" xfId="0" applyFont="1" applyNumberFormat="1"/>
    <xf borderId="0" fillId="0" fontId="3" numFmtId="165" xfId="0" applyFont="1" applyNumberFormat="1"/>
    <xf borderId="60" fillId="0" fontId="18" numFmtId="0" xfId="0" applyAlignment="1" applyBorder="1" applyFont="1">
      <alignment horizontal="center"/>
    </xf>
    <xf borderId="61" fillId="0" fontId="18" numFmtId="0" xfId="0" applyAlignment="1" applyBorder="1" applyFont="1">
      <alignment horizontal="center"/>
    </xf>
    <xf borderId="59" fillId="0" fontId="18" numFmtId="0" xfId="0" applyAlignment="1" applyBorder="1" applyFont="1">
      <alignment horizontal="center"/>
    </xf>
    <xf borderId="5" fillId="8" fontId="25" numFmtId="0" xfId="0" applyAlignment="1" applyBorder="1" applyFont="1">
      <alignment horizontal="center" shrinkToFit="0" wrapText="1"/>
    </xf>
    <xf borderId="0" fillId="0" fontId="7" numFmtId="0" xfId="0" applyAlignment="1" applyFont="1">
      <alignment horizontal="center"/>
    </xf>
    <xf borderId="12" fillId="18" fontId="25" numFmtId="164" xfId="0" applyAlignment="1" applyBorder="1" applyFont="1" applyNumberFormat="1">
      <alignment horizontal="center" shrinkToFit="0" wrapText="1"/>
    </xf>
    <xf borderId="91" fillId="0" fontId="3" numFmtId="0" xfId="0" applyBorder="1" applyFont="1"/>
    <xf borderId="33" fillId="0" fontId="18" numFmtId="0" xfId="0" applyAlignment="1" applyBorder="1" applyFont="1">
      <alignment horizontal="center"/>
    </xf>
    <xf borderId="22" fillId="0" fontId="18" numFmtId="0" xfId="0" applyAlignment="1" applyBorder="1" applyFont="1">
      <alignment horizontal="center" shrinkToFit="0" wrapText="1"/>
    </xf>
    <xf borderId="0" fillId="0" fontId="26" numFmtId="0" xfId="0" applyAlignment="1" applyFont="1">
      <alignment horizontal="center" shrinkToFit="0" vertical="center" wrapText="1"/>
    </xf>
    <xf borderId="0" fillId="0" fontId="27" numFmtId="0" xfId="0" applyFont="1"/>
    <xf borderId="96" fillId="13" fontId="28" numFmtId="167" xfId="0" applyAlignment="1" applyBorder="1" applyFont="1" applyNumberFormat="1">
      <alignment horizontal="center"/>
    </xf>
    <xf borderId="4" fillId="0" fontId="29" numFmtId="0" xfId="0" applyAlignment="1" applyBorder="1" applyFont="1">
      <alignment horizontal="center"/>
    </xf>
    <xf borderId="0" fillId="0" fontId="29" numFmtId="0" xfId="0" applyFont="1"/>
    <xf borderId="62" fillId="0" fontId="30" numFmtId="0" xfId="0" applyBorder="1" applyFont="1"/>
    <xf borderId="61" fillId="0" fontId="31" numFmtId="169" xfId="0" applyAlignment="1" applyBorder="1" applyFont="1" applyNumberFormat="1">
      <alignment horizontal="center"/>
    </xf>
    <xf borderId="97" fillId="19" fontId="3" numFmtId="0" xfId="0" applyAlignment="1" applyBorder="1" applyFill="1" applyFont="1">
      <alignment horizontal="center" shrinkToFit="0" wrapText="1"/>
    </xf>
    <xf borderId="62" fillId="0" fontId="32" numFmtId="0" xfId="0" applyBorder="1" applyFont="1"/>
    <xf borderId="63" fillId="0" fontId="3" numFmtId="16" xfId="0" applyAlignment="1" applyBorder="1" applyFont="1" applyNumberFormat="1">
      <alignment horizontal="center"/>
    </xf>
    <xf borderId="88" fillId="0" fontId="10" numFmtId="0" xfId="0" applyBorder="1" applyFont="1"/>
    <xf borderId="63" fillId="0" fontId="33" numFmtId="10" xfId="0" applyAlignment="1" applyBorder="1" applyFont="1" applyNumberFormat="1">
      <alignment horizontal="center"/>
    </xf>
    <xf borderId="63" fillId="0" fontId="34" numFmtId="10" xfId="0" applyAlignment="1" applyBorder="1" applyFont="1" applyNumberFormat="1">
      <alignment horizontal="center"/>
    </xf>
    <xf borderId="98" fillId="0" fontId="3" numFmtId="9" xfId="0" applyAlignment="1" applyBorder="1" applyFont="1" applyNumberFormat="1">
      <alignment horizontal="center"/>
    </xf>
    <xf borderId="63" fillId="20" fontId="30" numFmtId="170" xfId="0" applyAlignment="1" applyBorder="1" applyFill="1" applyFont="1" applyNumberFormat="1">
      <alignment horizontal="center"/>
    </xf>
    <xf borderId="98" fillId="19" fontId="3" numFmtId="164" xfId="0" applyAlignment="1" applyBorder="1" applyFont="1" applyNumberFormat="1">
      <alignment horizontal="center"/>
    </xf>
    <xf borderId="63" fillId="0" fontId="30" numFmtId="170" xfId="0" applyAlignment="1" applyBorder="1" applyFont="1" applyNumberFormat="1">
      <alignment horizontal="center"/>
    </xf>
    <xf borderId="63" fillId="0" fontId="3" numFmtId="170" xfId="0" applyAlignment="1" applyBorder="1" applyFont="1" applyNumberFormat="1">
      <alignment horizontal="center"/>
    </xf>
    <xf borderId="98" fillId="0" fontId="3" numFmtId="164" xfId="0" applyAlignment="1" applyBorder="1" applyFont="1" applyNumberFormat="1">
      <alignment horizontal="center"/>
    </xf>
    <xf borderId="62" fillId="0" fontId="30" numFmtId="0" xfId="0" applyAlignment="1" applyBorder="1" applyFont="1">
      <alignment horizontal="left"/>
    </xf>
    <xf borderId="63" fillId="19" fontId="3" numFmtId="164" xfId="0" applyAlignment="1" applyBorder="1" applyFont="1" applyNumberFormat="1">
      <alignment horizontal="center"/>
    </xf>
    <xf borderId="64" fillId="19" fontId="3" numFmtId="164" xfId="0" applyAlignment="1" applyBorder="1" applyFont="1" applyNumberFormat="1">
      <alignment horizontal="center"/>
    </xf>
    <xf borderId="63" fillId="19" fontId="30" numFmtId="170" xfId="0" applyAlignment="1" applyBorder="1" applyFont="1" applyNumberFormat="1">
      <alignment horizontal="center"/>
    </xf>
    <xf borderId="62" fillId="0" fontId="32" numFmtId="0" xfId="0" applyAlignment="1" applyBorder="1" applyFont="1">
      <alignment horizontal="center"/>
    </xf>
    <xf borderId="63" fillId="6" fontId="32" numFmtId="169" xfId="0" applyAlignment="1" applyBorder="1" applyFont="1" applyNumberFormat="1">
      <alignment horizontal="center"/>
    </xf>
    <xf borderId="98" fillId="19" fontId="3" numFmtId="169" xfId="0" applyAlignment="1" applyBorder="1" applyFont="1" applyNumberFormat="1">
      <alignment horizontal="center"/>
    </xf>
    <xf borderId="23" fillId="20" fontId="3" numFmtId="10" xfId="0" applyAlignment="1" applyBorder="1" applyFont="1" applyNumberFormat="1">
      <alignment horizontal="center"/>
    </xf>
    <xf borderId="63" fillId="0" fontId="32" numFmtId="9" xfId="0" applyAlignment="1" applyBorder="1" applyFont="1" applyNumberFormat="1">
      <alignment horizontal="center"/>
    </xf>
    <xf borderId="63" fillId="0" fontId="32" numFmtId="171" xfId="0" applyAlignment="1" applyBorder="1" applyFont="1" applyNumberFormat="1">
      <alignment horizontal="center"/>
    </xf>
    <xf borderId="63" fillId="0" fontId="33" numFmtId="0" xfId="0" applyAlignment="1" applyBorder="1" applyFont="1">
      <alignment horizontal="center"/>
    </xf>
    <xf borderId="63" fillId="6" fontId="32" numFmtId="171" xfId="0" applyAlignment="1" applyBorder="1" applyFont="1" applyNumberFormat="1">
      <alignment horizontal="center"/>
    </xf>
    <xf borderId="63" fillId="19" fontId="32" numFmtId="169" xfId="0" applyAlignment="1" applyBorder="1" applyFont="1" applyNumberFormat="1">
      <alignment horizontal="center"/>
    </xf>
    <xf borderId="63" fillId="19" fontId="30" numFmtId="171" xfId="0" applyAlignment="1" applyBorder="1" applyFont="1" applyNumberFormat="1">
      <alignment horizontal="center"/>
    </xf>
    <xf borderId="63" fillId="7" fontId="30" numFmtId="171" xfId="0" applyBorder="1" applyFont="1" applyNumberFormat="1"/>
    <xf borderId="98" fillId="19" fontId="30" numFmtId="164" xfId="0" applyAlignment="1" applyBorder="1" applyFont="1" applyNumberFormat="1">
      <alignment horizontal="center"/>
    </xf>
    <xf borderId="71" fillId="0" fontId="30" numFmtId="0" xfId="0" applyBorder="1" applyFont="1"/>
    <xf borderId="72" fillId="19" fontId="32" numFmtId="172" xfId="0" applyAlignment="1" applyBorder="1" applyFont="1" applyNumberFormat="1">
      <alignment horizontal="center"/>
    </xf>
    <xf borderId="72" fillId="19" fontId="32" numFmtId="169" xfId="0" applyAlignment="1" applyBorder="1" applyFont="1" applyNumberFormat="1">
      <alignment horizontal="center"/>
    </xf>
    <xf borderId="72" fillId="7" fontId="32" numFmtId="169" xfId="0" applyBorder="1" applyFont="1" applyNumberFormat="1"/>
    <xf borderId="99" fillId="19" fontId="32" numFmtId="169" xfId="0" applyAlignment="1" applyBorder="1" applyFont="1" applyNumberFormat="1">
      <alignment horizontal="center"/>
    </xf>
    <xf borderId="4" fillId="0" fontId="3" numFmtId="0" xfId="0" applyAlignment="1" applyBorder="1" applyFont="1">
      <alignment horizontal="center"/>
    </xf>
    <xf borderId="100" fillId="2" fontId="33" numFmtId="164" xfId="0" applyAlignment="1" applyBorder="1" applyFont="1" applyNumberFormat="1">
      <alignment horizontal="center"/>
    </xf>
    <xf borderId="99" fillId="19" fontId="3" numFmtId="9" xfId="0" applyAlignment="1" applyBorder="1" applyFont="1" applyNumberFormat="1">
      <alignment horizontal="center"/>
    </xf>
    <xf borderId="60" fillId="0" fontId="30" numFmtId="0" xfId="0" applyBorder="1" applyFont="1"/>
    <xf borderId="63" fillId="2" fontId="30" numFmtId="164" xfId="0" applyAlignment="1" applyBorder="1" applyFont="1" applyNumberFormat="1">
      <alignment horizontal="center"/>
    </xf>
    <xf borderId="63" fillId="0" fontId="30" numFmtId="164" xfId="0" applyAlignment="1" applyBorder="1" applyFont="1" applyNumberFormat="1">
      <alignment horizontal="center"/>
    </xf>
    <xf borderId="63" fillId="19" fontId="30" numFmtId="164" xfId="0" applyAlignment="1" applyBorder="1" applyFont="1" applyNumberFormat="1">
      <alignment horizontal="center"/>
    </xf>
    <xf borderId="0" fillId="0" fontId="3" numFmtId="10" xfId="0" applyFont="1" applyNumberFormat="1"/>
    <xf borderId="63" fillId="2" fontId="32" numFmtId="171" xfId="0" applyAlignment="1" applyBorder="1" applyFont="1" applyNumberFormat="1">
      <alignment horizontal="center"/>
    </xf>
    <xf borderId="98" fillId="0" fontId="3" numFmtId="169" xfId="0" applyAlignment="1" applyBorder="1" applyFont="1" applyNumberFormat="1">
      <alignment horizontal="center"/>
    </xf>
    <xf borderId="101" fillId="2" fontId="33" numFmtId="164" xfId="0" applyAlignment="1" applyBorder="1" applyFont="1" applyNumberFormat="1">
      <alignment horizontal="center"/>
    </xf>
    <xf borderId="0" fillId="0" fontId="30" numFmtId="0" xfId="0" applyFont="1"/>
    <xf borderId="0" fillId="0" fontId="30" numFmtId="171" xfId="0" applyFont="1" applyNumberFormat="1"/>
    <xf borderId="21" fillId="0" fontId="35" numFmtId="0" xfId="0" applyAlignment="1" applyBorder="1" applyFont="1">
      <alignment horizontal="center"/>
    </xf>
    <xf borderId="21" fillId="0" fontId="35" numFmtId="0" xfId="0" applyBorder="1" applyFont="1"/>
    <xf borderId="0" fillId="0" fontId="35" numFmtId="0" xfId="0" applyFont="1"/>
    <xf borderId="25" fillId="0" fontId="35" numFmtId="0" xfId="0" applyBorder="1" applyFont="1"/>
    <xf borderId="21" fillId="0" fontId="3" numFmtId="0" xfId="0" applyBorder="1" applyFont="1"/>
    <xf borderId="50" fillId="0" fontId="3" numFmtId="0" xfId="0" applyAlignment="1" applyBorder="1" applyFont="1">
      <alignment horizontal="center"/>
    </xf>
    <xf borderId="21" fillId="0" fontId="2" numFmtId="0" xfId="0" applyAlignment="1" applyBorder="1" applyFont="1">
      <alignment horizontal="center" shrinkToFit="0" vertical="center" wrapText="1"/>
    </xf>
    <xf borderId="50" fillId="0" fontId="5" numFmtId="0" xfId="0" applyAlignment="1" applyBorder="1" applyFont="1">
      <alignment horizontal="center" shrinkToFit="0" wrapText="1"/>
    </xf>
    <xf borderId="22" fillId="0" fontId="3" numFmtId="0" xfId="0" applyAlignment="1" applyBorder="1" applyFont="1">
      <alignment horizontal="center"/>
    </xf>
    <xf borderId="102" fillId="2" fontId="36" numFmtId="0" xfId="0" applyAlignment="1" applyBorder="1" applyFont="1">
      <alignment horizontal="center" shrinkToFit="0" wrapText="1"/>
    </xf>
    <xf borderId="75" fillId="2" fontId="36" numFmtId="0" xfId="0" applyAlignment="1" applyBorder="1" applyFont="1">
      <alignment horizontal="center" shrinkToFit="0" wrapText="1"/>
    </xf>
    <xf borderId="0" fillId="0" fontId="37" numFmtId="0" xfId="0" applyAlignment="1" applyFont="1">
      <alignment horizontal="center"/>
    </xf>
    <xf borderId="81" fillId="0" fontId="18" numFmtId="0" xfId="0" applyBorder="1" applyFont="1"/>
    <xf borderId="82" fillId="0" fontId="17" numFmtId="2" xfId="0" applyAlignment="1" applyBorder="1" applyFont="1" applyNumberFormat="1">
      <alignment horizontal="center"/>
    </xf>
    <xf borderId="83" fillId="0" fontId="17" numFmtId="2" xfId="0" applyAlignment="1" applyBorder="1" applyFont="1" applyNumberFormat="1">
      <alignment horizontal="center"/>
    </xf>
    <xf borderId="0" fillId="0" fontId="38" numFmtId="0" xfId="0" applyAlignment="1" applyFont="1">
      <alignment horizontal="center"/>
    </xf>
    <xf borderId="4" fillId="5" fontId="38" numFmtId="1" xfId="0" applyAlignment="1" applyBorder="1" applyFont="1" applyNumberFormat="1">
      <alignment horizontal="center"/>
    </xf>
    <xf borderId="5" fillId="5" fontId="38" numFmtId="37" xfId="0" applyAlignment="1" applyBorder="1" applyFont="1" applyNumberFormat="1">
      <alignment horizontal="center"/>
    </xf>
    <xf borderId="63" fillId="0" fontId="17" numFmtId="2" xfId="0" applyAlignment="1" applyBorder="1" applyFont="1" applyNumberFormat="1">
      <alignment horizontal="center"/>
    </xf>
    <xf borderId="64" fillId="0" fontId="17" numFmtId="2" xfId="0" applyAlignment="1" applyBorder="1" applyFont="1" applyNumberFormat="1">
      <alignment horizontal="center"/>
    </xf>
    <xf borderId="4" fillId="13" fontId="38" numFmtId="173" xfId="0" applyAlignment="1" applyBorder="1" applyFont="1" applyNumberFormat="1">
      <alignment horizontal="center"/>
    </xf>
    <xf borderId="4" fillId="2" fontId="38" numFmtId="164" xfId="0" applyAlignment="1" applyBorder="1" applyFont="1" applyNumberFormat="1">
      <alignment horizontal="center" readingOrder="0"/>
    </xf>
    <xf borderId="0" fillId="0" fontId="5" numFmtId="0" xfId="0" applyAlignment="1" applyFont="1">
      <alignment horizontal="center"/>
    </xf>
    <xf borderId="102" fillId="5" fontId="5" numFmtId="1" xfId="0" applyAlignment="1" applyBorder="1" applyFont="1" applyNumberFormat="1">
      <alignment horizontal="center"/>
    </xf>
    <xf borderId="75" fillId="5" fontId="5" numFmtId="1" xfId="0" applyAlignment="1" applyBorder="1" applyFont="1" applyNumberFormat="1">
      <alignment horizontal="center"/>
    </xf>
    <xf borderId="5" fillId="5" fontId="37" numFmtId="1" xfId="0" applyAlignment="1" applyBorder="1" applyFont="1" applyNumberFormat="1">
      <alignment horizontal="center"/>
    </xf>
    <xf borderId="25" fillId="0" fontId="33" numFmtId="0" xfId="0" applyAlignment="1" applyBorder="1" applyFont="1">
      <alignment horizontal="center"/>
    </xf>
    <xf borderId="0" fillId="0" fontId="33" numFmtId="0" xfId="0" applyFont="1"/>
    <xf borderId="0" fillId="0" fontId="33" numFmtId="0" xfId="0" applyAlignment="1" applyFont="1">
      <alignment horizontal="center"/>
    </xf>
    <xf borderId="26" fillId="0" fontId="33" numFmtId="0" xfId="0" applyAlignment="1" applyBorder="1" applyFont="1">
      <alignment horizontal="center"/>
    </xf>
    <xf borderId="71" fillId="0" fontId="18" numFmtId="0" xfId="0" applyBorder="1" applyFont="1"/>
    <xf borderId="72" fillId="0" fontId="17" numFmtId="2" xfId="0" applyAlignment="1" applyBorder="1" applyFont="1" applyNumberFormat="1">
      <alignment horizontal="center"/>
    </xf>
    <xf borderId="73" fillId="0" fontId="17" numFmtId="2" xfId="0" applyAlignment="1" applyBorder="1" applyFont="1" applyNumberFormat="1">
      <alignment horizontal="center"/>
    </xf>
    <xf borderId="4" fillId="13" fontId="33" numFmtId="9" xfId="0" applyAlignment="1" applyBorder="1" applyFont="1" applyNumberFormat="1">
      <alignment horizontal="center"/>
    </xf>
    <xf borderId="0" fillId="0" fontId="33" numFmtId="9" xfId="0" applyFont="1" applyNumberFormat="1"/>
    <xf borderId="26" fillId="0" fontId="33" numFmtId="9" xfId="0" applyAlignment="1" applyBorder="1" applyFont="1" applyNumberFormat="1">
      <alignment horizontal="center"/>
    </xf>
    <xf borderId="25" fillId="0" fontId="12" numFmtId="0" xfId="0" applyAlignment="1" applyBorder="1" applyFont="1">
      <alignment horizontal="center"/>
    </xf>
    <xf borderId="4" fillId="13" fontId="9" numFmtId="173" xfId="0" applyAlignment="1" applyBorder="1" applyFont="1" applyNumberFormat="1">
      <alignment horizontal="center"/>
    </xf>
    <xf borderId="25" fillId="0" fontId="39" numFmtId="0" xfId="0" applyAlignment="1" applyBorder="1" applyFont="1">
      <alignment horizontal="center"/>
    </xf>
    <xf borderId="27" fillId="0" fontId="39" numFmtId="0" xfId="0" applyAlignment="1" applyBorder="1" applyFont="1">
      <alignment horizontal="center"/>
    </xf>
    <xf borderId="0" fillId="0" fontId="39" numFmtId="0" xfId="0" applyFont="1"/>
    <xf borderId="53" fillId="0" fontId="39" numFmtId="0" xfId="0" applyAlignment="1" applyBorder="1" applyFont="1">
      <alignment horizontal="center"/>
    </xf>
    <xf borderId="26" fillId="0" fontId="3" numFmtId="0" xfId="0" applyAlignment="1" applyBorder="1" applyFont="1">
      <alignment horizontal="center" shrinkToFit="0" vertical="center" wrapText="1"/>
    </xf>
    <xf borderId="2" fillId="2" fontId="33" numFmtId="0" xfId="0" applyAlignment="1" applyBorder="1" applyFont="1">
      <alignment horizontal="center"/>
    </xf>
    <xf borderId="2" fillId="2" fontId="33" numFmtId="174" xfId="0" applyAlignment="1" applyBorder="1" applyFont="1" applyNumberFormat="1">
      <alignment horizontal="center"/>
    </xf>
    <xf borderId="5" fillId="4" fontId="40" numFmtId="37" xfId="0" applyAlignment="1" applyBorder="1" applyFont="1" applyNumberFormat="1">
      <alignment horizontal="center"/>
    </xf>
    <xf borderId="66" fillId="0" fontId="3" numFmtId="0" xfId="0" applyAlignment="1" applyBorder="1" applyFont="1">
      <alignment horizontal="center"/>
    </xf>
    <xf borderId="66" fillId="0" fontId="3" numFmtId="0" xfId="0" applyBorder="1" applyFont="1"/>
    <xf borderId="9" fillId="0" fontId="3" numFmtId="174" xfId="0" applyAlignment="1" applyBorder="1" applyFont="1" applyNumberFormat="1">
      <alignment horizontal="center"/>
    </xf>
    <xf borderId="9" fillId="0" fontId="3" numFmtId="37" xfId="0" applyAlignment="1" applyBorder="1" applyFont="1" applyNumberFormat="1">
      <alignment horizontal="center"/>
    </xf>
    <xf borderId="9" fillId="2" fontId="3" numFmtId="0" xfId="0" applyAlignment="1" applyBorder="1" applyFont="1">
      <alignment horizontal="center"/>
    </xf>
    <xf borderId="103" fillId="0" fontId="18" numFmtId="0" xfId="0" applyBorder="1" applyFont="1"/>
    <xf borderId="65" fillId="0" fontId="17" numFmtId="2" xfId="0" applyAlignment="1" applyBorder="1" applyFont="1" applyNumberFormat="1">
      <alignment horizontal="center"/>
    </xf>
    <xf borderId="104" fillId="0" fontId="17" numFmtId="2" xfId="0" applyAlignment="1" applyBorder="1" applyFont="1" applyNumberFormat="1">
      <alignment horizontal="center"/>
    </xf>
    <xf borderId="9" fillId="5" fontId="3" numFmtId="0" xfId="0" applyAlignment="1" applyBorder="1" applyFont="1">
      <alignment horizontal="center"/>
    </xf>
    <xf borderId="26" fillId="0" fontId="3" numFmtId="0" xfId="0" applyAlignment="1" applyBorder="1" applyFont="1">
      <alignment horizontal="center" shrinkToFit="0" wrapText="1"/>
    </xf>
    <xf borderId="102" fillId="0" fontId="18" numFmtId="0" xfId="0" applyBorder="1" applyFont="1"/>
    <xf borderId="74" fillId="0" fontId="18" numFmtId="2" xfId="0" applyAlignment="1" applyBorder="1" applyFont="1" applyNumberFormat="1">
      <alignment horizontal="center"/>
    </xf>
    <xf borderId="75" fillId="0" fontId="18" numFmtId="2" xfId="0" applyAlignment="1" applyBorder="1" applyFont="1" applyNumberFormat="1">
      <alignment horizontal="center"/>
    </xf>
    <xf borderId="9" fillId="0" fontId="3" numFmtId="1" xfId="0" applyAlignment="1" applyBorder="1" applyFont="1" applyNumberFormat="1">
      <alignment horizontal="center"/>
    </xf>
    <xf borderId="9" fillId="2" fontId="3" numFmtId="9" xfId="0" applyAlignment="1" applyBorder="1" applyFont="1" applyNumberFormat="1">
      <alignment horizontal="center"/>
    </xf>
    <xf borderId="9" fillId="5" fontId="3" numFmtId="1" xfId="0" applyAlignment="1" applyBorder="1" applyFont="1" applyNumberFormat="1">
      <alignment horizontal="center"/>
    </xf>
    <xf borderId="5" fillId="4" fontId="23" numFmtId="1" xfId="0" applyAlignment="1" applyBorder="1" applyFont="1" applyNumberFormat="1">
      <alignment horizontal="center"/>
    </xf>
    <xf borderId="9" fillId="13" fontId="3" numFmtId="9" xfId="0" applyAlignment="1" applyBorder="1" applyFont="1" applyNumberFormat="1">
      <alignment horizontal="center"/>
    </xf>
    <xf borderId="9" fillId="0" fontId="3" numFmtId="0" xfId="0" applyBorder="1" applyFont="1"/>
    <xf borderId="9" fillId="0" fontId="33" numFmtId="1" xfId="0" applyAlignment="1" applyBorder="1" applyFont="1" applyNumberFormat="1">
      <alignment horizontal="center"/>
    </xf>
    <xf borderId="9" fillId="13" fontId="3" numFmtId="167" xfId="0" applyAlignment="1" applyBorder="1" applyFont="1" applyNumberFormat="1">
      <alignment horizontal="center"/>
    </xf>
    <xf borderId="9" fillId="5" fontId="3" numFmtId="2" xfId="0" applyAlignment="1" applyBorder="1" applyFont="1" applyNumberFormat="1">
      <alignment horizontal="center"/>
    </xf>
    <xf borderId="26" fillId="0" fontId="3" numFmtId="175" xfId="0" applyAlignment="1" applyBorder="1" applyFont="1" applyNumberFormat="1">
      <alignment horizontal="center"/>
    </xf>
    <xf borderId="9" fillId="5" fontId="3" numFmtId="175" xfId="0" applyAlignment="1" applyBorder="1" applyFont="1" applyNumberFormat="1">
      <alignment horizontal="center"/>
    </xf>
    <xf borderId="9" fillId="0" fontId="3" numFmtId="167" xfId="0" applyAlignment="1" applyBorder="1" applyFont="1" applyNumberFormat="1">
      <alignment horizontal="center"/>
    </xf>
    <xf borderId="9" fillId="0" fontId="33" numFmtId="0" xfId="0" applyBorder="1" applyFont="1"/>
    <xf borderId="25" fillId="0" fontId="33" numFmtId="0" xfId="0" applyBorder="1" applyFont="1"/>
    <xf borderId="42" fillId="4" fontId="40" numFmtId="1" xfId="0" applyAlignment="1" applyBorder="1" applyFont="1" applyNumberFormat="1">
      <alignment horizontal="center"/>
    </xf>
    <xf borderId="15" fillId="13" fontId="3" numFmtId="175" xfId="0" applyAlignment="1" applyBorder="1" applyFont="1" applyNumberFormat="1">
      <alignment horizontal="center"/>
    </xf>
    <xf borderId="15" fillId="5" fontId="3" numFmtId="167" xfId="0" applyAlignment="1" applyBorder="1" applyFont="1" applyNumberFormat="1">
      <alignment horizontal="center"/>
    </xf>
    <xf borderId="25" fillId="0" fontId="30" numFmtId="0" xfId="0" applyBorder="1" applyFont="1"/>
    <xf borderId="4" fillId="0" fontId="33" numFmtId="0" xfId="0" applyAlignment="1" applyBorder="1" applyFont="1">
      <alignment horizontal="center"/>
    </xf>
    <xf borderId="4" fillId="0" fontId="38" numFmtId="0" xfId="0" applyAlignment="1" applyBorder="1" applyFont="1">
      <alignment horizontal="center"/>
    </xf>
    <xf borderId="0" fillId="0" fontId="38" numFmtId="0" xfId="0" applyFont="1"/>
    <xf borderId="0" fillId="0" fontId="33" numFmtId="175" xfId="0" applyAlignment="1" applyFont="1" applyNumberFormat="1">
      <alignment horizontal="center"/>
    </xf>
    <xf borderId="19" fillId="0" fontId="33" numFmtId="0" xfId="0" applyAlignment="1" applyBorder="1" applyFont="1">
      <alignment horizontal="center"/>
    </xf>
    <xf borderId="101" fillId="5" fontId="33" numFmtId="3" xfId="0" applyAlignment="1" applyBorder="1" applyFont="1" applyNumberFormat="1">
      <alignment horizontal="center"/>
    </xf>
    <xf borderId="82" fillId="0" fontId="33" numFmtId="0" xfId="0" applyBorder="1" applyFont="1"/>
    <xf borderId="101" fillId="5" fontId="33" numFmtId="167" xfId="0" applyAlignment="1" applyBorder="1" applyFont="1" applyNumberFormat="1">
      <alignment horizontal="center"/>
    </xf>
    <xf borderId="82" fillId="0" fontId="3" numFmtId="0" xfId="0" applyBorder="1" applyFont="1"/>
    <xf borderId="101" fillId="0" fontId="33" numFmtId="167" xfId="0" applyAlignment="1" applyBorder="1" applyFont="1" applyNumberFormat="1">
      <alignment horizontal="center"/>
    </xf>
    <xf borderId="23" fillId="0" fontId="33" numFmtId="0" xfId="0" applyAlignment="1" applyBorder="1" applyFont="1">
      <alignment horizontal="center"/>
    </xf>
    <xf borderId="99" fillId="2" fontId="33" numFmtId="9" xfId="0" applyAlignment="1" applyBorder="1" applyFont="1" applyNumberFormat="1">
      <alignment horizontal="center"/>
    </xf>
    <xf borderId="72" fillId="0" fontId="33" numFmtId="0" xfId="0" applyBorder="1" applyFont="1"/>
    <xf borderId="99" fillId="5" fontId="33" numFmtId="37" xfId="0" applyAlignment="1" applyBorder="1" applyFont="1" applyNumberFormat="1">
      <alignment horizontal="center"/>
    </xf>
    <xf borderId="99" fillId="0" fontId="33" numFmtId="164" xfId="0" applyAlignment="1" applyBorder="1" applyFont="1" applyNumberFormat="1">
      <alignment horizontal="center"/>
    </xf>
    <xf borderId="21" fillId="0" fontId="39" numFmtId="0" xfId="0" applyAlignment="1" applyBorder="1" applyFont="1">
      <alignment horizontal="center"/>
    </xf>
    <xf borderId="0" fillId="0" fontId="3" numFmtId="0" xfId="0" applyAlignment="1" applyFont="1">
      <alignment shrinkToFit="0" wrapText="1"/>
    </xf>
    <xf borderId="82" fillId="2" fontId="3" numFmtId="0" xfId="0" applyAlignment="1" applyBorder="1" applyFont="1">
      <alignment horizontal="center"/>
    </xf>
    <xf borderId="101" fillId="0" fontId="3" numFmtId="0" xfId="0" applyAlignment="1" applyBorder="1" applyFont="1">
      <alignment horizontal="center"/>
    </xf>
    <xf borderId="83" fillId="2" fontId="3" numFmtId="0" xfId="0" applyAlignment="1" applyBorder="1" applyFont="1">
      <alignment horizontal="center"/>
    </xf>
    <xf borderId="5" fillId="4" fontId="40" numFmtId="0" xfId="0" applyAlignment="1" applyBorder="1" applyFont="1">
      <alignment horizontal="center"/>
    </xf>
    <xf borderId="63" fillId="2" fontId="3" numFmtId="0" xfId="0" applyAlignment="1" applyBorder="1" applyFont="1">
      <alignment horizontal="center"/>
    </xf>
    <xf borderId="98" fillId="0" fontId="3" numFmtId="0" xfId="0" applyAlignment="1" applyBorder="1" applyFont="1">
      <alignment horizontal="center"/>
    </xf>
    <xf borderId="64" fillId="2" fontId="3" numFmtId="0" xfId="0" applyAlignment="1" applyBorder="1" applyFont="1">
      <alignment horizontal="center"/>
    </xf>
    <xf borderId="64" fillId="2" fontId="3" numFmtId="0" xfId="0" applyBorder="1" applyFont="1"/>
    <xf borderId="0" fillId="0" fontId="3" numFmtId="173" xfId="0" applyFont="1" applyNumberFormat="1"/>
    <xf borderId="27" fillId="0" fontId="30" numFmtId="0" xfId="0" applyBorder="1" applyFont="1"/>
    <xf borderId="72" fillId="2" fontId="3" numFmtId="0" xfId="0" applyAlignment="1" applyBorder="1" applyFont="1">
      <alignment horizontal="center"/>
    </xf>
    <xf borderId="72" fillId="0" fontId="3" numFmtId="0" xfId="0" applyAlignment="1" applyBorder="1" applyFont="1">
      <alignment horizontal="center"/>
    </xf>
    <xf borderId="73" fillId="0" fontId="3" numFmtId="0" xfId="0" applyAlignment="1" applyBorder="1" applyFont="1">
      <alignment horizontal="center"/>
    </xf>
    <xf borderId="28" fillId="0" fontId="3" numFmtId="0" xfId="0" applyAlignment="1" applyBorder="1" applyFont="1">
      <alignment horizontal="center"/>
    </xf>
    <xf borderId="81" fillId="13" fontId="3" numFmtId="0" xfId="0" applyBorder="1" applyFont="1"/>
    <xf borderId="0" fillId="0" fontId="3" numFmtId="1" xfId="0" applyFont="1" applyNumberFormat="1"/>
    <xf borderId="62" fillId="4" fontId="3" numFmtId="0" xfId="0" applyBorder="1" applyFont="1"/>
    <xf borderId="0" fillId="0" fontId="3" numFmtId="175" xfId="0" applyFont="1" applyNumberFormat="1"/>
    <xf borderId="0" fillId="0" fontId="32" numFmtId="0" xfId="0" applyFont="1"/>
    <xf borderId="0" fillId="0" fontId="32" numFmtId="17" xfId="0" applyAlignment="1" applyFont="1" applyNumberFormat="1">
      <alignment horizontal="center"/>
    </xf>
    <xf borderId="71" fillId="5" fontId="3" numFmtId="0" xfId="0" applyBorder="1" applyFont="1"/>
    <xf borderId="99" fillId="0" fontId="3" numFmtId="0" xfId="0" applyAlignment="1" applyBorder="1" applyFont="1">
      <alignment horizontal="center"/>
    </xf>
    <xf borderId="0" fillId="0" fontId="31" numFmtId="169" xfId="0" applyAlignment="1" applyFont="1" applyNumberFormat="1">
      <alignment horizontal="center"/>
    </xf>
    <xf borderId="0" fillId="0" fontId="30" numFmtId="0" xfId="0" applyAlignment="1" applyFont="1">
      <alignment horizontal="left"/>
    </xf>
    <xf borderId="0" fillId="0" fontId="27" numFmtId="171" xfId="0" applyFont="1" applyNumberFormat="1"/>
    <xf borderId="0" fillId="0" fontId="30" numFmtId="169" xfId="0" applyFont="1" applyNumberFormat="1"/>
    <xf borderId="0" fillId="0" fontId="41" numFmtId="9" xfId="0" applyFont="1" applyNumberFormat="1"/>
    <xf borderId="0" fillId="0" fontId="27" numFmtId="169" xfId="0" applyFont="1" applyNumberFormat="1"/>
    <xf borderId="0" fillId="0" fontId="41" numFmtId="171" xfId="0" applyFont="1" applyNumberFormat="1"/>
    <xf borderId="0" fillId="0" fontId="30" numFmtId="172" xfId="0" applyFont="1" applyNumberFormat="1"/>
    <xf borderId="0" fillId="0" fontId="42" numFmtId="0" xfId="0" applyAlignment="1" applyFont="1">
      <alignment horizontal="left"/>
    </xf>
    <xf borderId="0" fillId="0" fontId="30" numFmtId="169" xfId="0" applyAlignment="1" applyFont="1" applyNumberFormat="1">
      <alignment horizontal="right"/>
    </xf>
    <xf borderId="0" fillId="0" fontId="30" numFmtId="0" xfId="0" applyAlignment="1" applyFont="1">
      <alignment horizontal="right"/>
    </xf>
    <xf borderId="0" fillId="0" fontId="3" numFmtId="176" xfId="0" applyFont="1" applyNumberFormat="1"/>
    <xf borderId="0" fillId="0" fontId="3" numFmtId="169" xfId="0" applyFont="1" applyNumberFormat="1"/>
    <xf borderId="0" fillId="0" fontId="30" numFmtId="177" xfId="0" applyFont="1" applyNumberFormat="1"/>
    <xf borderId="0" fillId="0" fontId="32" numFmtId="177" xfId="0" applyAlignment="1" applyFont="1" applyNumberFormat="1">
      <alignment vertical="center"/>
    </xf>
    <xf borderId="0" fillId="0" fontId="43" numFmtId="17" xfId="0" applyAlignment="1" applyFont="1" applyNumberFormat="1">
      <alignment horizontal="center"/>
    </xf>
    <xf borderId="0" fillId="0" fontId="44" numFmtId="177" xfId="0" applyFont="1" applyNumberFormat="1"/>
    <xf borderId="0" fillId="0" fontId="45" numFmtId="177" xfId="0" applyAlignment="1" applyFont="1" applyNumberFormat="1">
      <alignment horizontal="center"/>
    </xf>
    <xf borderId="0" fillId="0" fontId="32" numFmtId="177" xfId="0" applyFont="1" applyNumberFormat="1"/>
  </cellXfs>
  <cellStyles count="1">
    <cellStyle xfId="0" name="Normal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714375</xdr:colOff>
      <xdr:row>3</xdr:row>
      <xdr:rowOff>19050</xdr:rowOff>
    </xdr:from>
    <xdr:ext cx="38100" cy="285750"/>
    <xdr:grpSp>
      <xdr:nvGrpSpPr>
        <xdr:cNvPr id="2" name="Shape 2"/>
        <xdr:cNvGrpSpPr/>
      </xdr:nvGrpSpPr>
      <xdr:grpSpPr>
        <a:xfrm>
          <a:off x="5346000" y="3637125"/>
          <a:ext cx="0" cy="285750"/>
          <a:chOff x="5346000" y="3637125"/>
          <a:chExt cx="0" cy="285750"/>
        </a:xfrm>
      </xdr:grpSpPr>
      <xdr:cxnSp>
        <xdr:nvCxnSpPr>
          <xdr:cNvPr id="3" name="Shape 3"/>
          <xdr:cNvCxnSpPr/>
        </xdr:nvCxnSpPr>
        <xdr:spPr>
          <a:xfrm>
            <a:off x="5346000" y="3637125"/>
            <a:ext cx="0" cy="285750"/>
          </a:xfrm>
          <a:prstGeom prst="straightConnector1">
            <a:avLst/>
          </a:prstGeom>
          <a:noFill/>
          <a:ln cap="flat" cmpd="sng" w="38100">
            <a:solidFill>
              <a:srgbClr val="BD4B48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6</xdr:col>
      <xdr:colOff>9525</xdr:colOff>
      <xdr:row>5</xdr:row>
      <xdr:rowOff>-9525</xdr:rowOff>
    </xdr:from>
    <xdr:ext cx="609600" cy="57150"/>
    <xdr:grpSp>
      <xdr:nvGrpSpPr>
        <xdr:cNvPr id="2" name="Shape 2"/>
        <xdr:cNvGrpSpPr/>
      </xdr:nvGrpSpPr>
      <xdr:grpSpPr>
        <a:xfrm>
          <a:off x="5041200" y="3780000"/>
          <a:ext cx="609600" cy="0"/>
          <a:chOff x="5041200" y="3780000"/>
          <a:chExt cx="609600" cy="0"/>
        </a:xfrm>
      </xdr:grpSpPr>
      <xdr:cxnSp>
        <xdr:nvCxnSpPr>
          <xdr:cNvPr id="4" name="Shape 4"/>
          <xdr:cNvCxnSpPr/>
        </xdr:nvCxnSpPr>
        <xdr:spPr>
          <a:xfrm>
            <a:off x="5041200" y="3780000"/>
            <a:ext cx="609600" cy="0"/>
          </a:xfrm>
          <a:prstGeom prst="straightConnector1">
            <a:avLst/>
          </a:prstGeom>
          <a:noFill/>
          <a:ln cap="flat" cmpd="sng" w="57150">
            <a:solidFill>
              <a:srgbClr val="BD4B48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8.63"/>
    <col customWidth="1" min="4" max="4" width="6.63"/>
    <col customWidth="1" min="5" max="5" width="9.75"/>
    <col customWidth="1" min="6" max="26" width="8.63"/>
  </cols>
  <sheetData>
    <row r="1" ht="12.75" customHeight="1">
      <c r="A1" s="1" t="s">
        <v>0</v>
      </c>
    </row>
    <row r="2" ht="12.75" customHeight="1">
      <c r="B2" s="2" t="s">
        <v>1</v>
      </c>
      <c r="C2" s="3"/>
      <c r="D2" s="3"/>
      <c r="E2" s="4"/>
    </row>
    <row r="3" ht="12.75" customHeight="1">
      <c r="B3" s="3"/>
      <c r="C3" s="3"/>
      <c r="D3" s="3"/>
      <c r="E3" s="4"/>
    </row>
    <row r="4" ht="12.75" customHeight="1">
      <c r="B4" s="3"/>
      <c r="C4" s="5" t="s">
        <v>2</v>
      </c>
      <c r="D4" s="3"/>
      <c r="E4" s="4"/>
    </row>
    <row r="5" ht="12.75" customHeight="1">
      <c r="B5" s="3"/>
      <c r="C5" s="6"/>
      <c r="D5" s="3" t="s">
        <v>3</v>
      </c>
      <c r="E5" s="4"/>
    </row>
    <row r="6" ht="12.75" customHeight="1">
      <c r="B6" s="3"/>
      <c r="C6" s="3"/>
      <c r="D6" s="3"/>
      <c r="E6" s="4"/>
    </row>
    <row r="7" ht="12.75" customHeight="1">
      <c r="B7" s="3"/>
      <c r="C7" s="7"/>
      <c r="D7" s="3" t="s">
        <v>4</v>
      </c>
      <c r="E7" s="4"/>
    </row>
    <row r="8" ht="12.75" customHeight="1">
      <c r="B8" s="3"/>
      <c r="C8" s="3"/>
      <c r="D8" s="3" t="s">
        <v>5</v>
      </c>
      <c r="E8" s="4"/>
    </row>
    <row r="9" ht="12.75" customHeight="1">
      <c r="B9" s="3"/>
      <c r="C9" s="3"/>
      <c r="D9" s="3" t="s">
        <v>6</v>
      </c>
      <c r="E9" s="4"/>
    </row>
    <row r="10" ht="12.75" customHeight="1">
      <c r="B10" s="3"/>
      <c r="C10" s="3"/>
      <c r="D10" s="3" t="s">
        <v>7</v>
      </c>
      <c r="E10" s="4"/>
    </row>
    <row r="11" ht="12.75" customHeight="1">
      <c r="B11" s="3"/>
      <c r="C11" s="3"/>
      <c r="D11" s="3"/>
      <c r="E11" s="4"/>
    </row>
    <row r="12" ht="12.75" customHeight="1">
      <c r="B12" s="3"/>
      <c r="C12" s="8"/>
      <c r="D12" s="9" t="s">
        <v>8</v>
      </c>
      <c r="E12" s="4"/>
    </row>
    <row r="13" ht="12.75" customHeight="1">
      <c r="B13" s="3"/>
      <c r="C13" s="3"/>
      <c r="D13" s="3"/>
      <c r="E13" s="4"/>
    </row>
    <row r="14" ht="12.75" customHeight="1">
      <c r="B14" s="3"/>
      <c r="C14" s="10"/>
      <c r="D14" s="11" t="s">
        <v>9</v>
      </c>
      <c r="E14" s="4"/>
    </row>
    <row r="15" ht="12.75" customHeight="1">
      <c r="B15" s="3"/>
      <c r="C15" s="4"/>
      <c r="E15" s="4"/>
    </row>
    <row r="16" ht="12.75" customHeight="1">
      <c r="B16" s="3"/>
      <c r="C16" s="12"/>
      <c r="D16" s="11" t="s">
        <v>10</v>
      </c>
      <c r="E16" s="4"/>
    </row>
    <row r="17" ht="12.75" customHeight="1">
      <c r="B17" s="3"/>
      <c r="C17" s="4"/>
      <c r="E17" s="4"/>
    </row>
    <row r="18" ht="12.75" customHeight="1">
      <c r="B18" s="3"/>
      <c r="C18" s="3"/>
      <c r="D18" s="3" t="s">
        <v>11</v>
      </c>
      <c r="E18" s="4"/>
    </row>
    <row r="19" ht="12.75" customHeight="1">
      <c r="B19" s="3"/>
      <c r="C19" s="3"/>
      <c r="D19" s="3"/>
      <c r="E19" s="9" t="s">
        <v>12</v>
      </c>
      <c r="I19" s="13"/>
    </row>
    <row r="20" ht="12.75" customHeight="1">
      <c r="B20" s="3"/>
      <c r="C20" s="5" t="s">
        <v>13</v>
      </c>
      <c r="D20" s="3"/>
      <c r="E20" s="4"/>
    </row>
    <row r="21" ht="12.75" customHeight="1">
      <c r="B21" s="4"/>
      <c r="C21" s="4"/>
      <c r="D21" s="4"/>
      <c r="E21" s="4"/>
    </row>
    <row r="22" ht="12.75" customHeight="1">
      <c r="B22" s="4"/>
      <c r="C22" s="4"/>
      <c r="D22" s="3" t="s">
        <v>14</v>
      </c>
      <c r="E22" s="4"/>
    </row>
    <row r="23" ht="12.75" customHeight="1">
      <c r="B23" s="4"/>
      <c r="C23" s="4"/>
      <c r="D23" s="3" t="s">
        <v>15</v>
      </c>
      <c r="E23" s="4"/>
    </row>
    <row r="24" ht="12.75" customHeight="1">
      <c r="B24" s="4"/>
      <c r="C24" s="4"/>
      <c r="D24" s="3" t="s">
        <v>16</v>
      </c>
      <c r="E24" s="4"/>
    </row>
    <row r="25" ht="12.75" customHeight="1">
      <c r="B25" s="4"/>
      <c r="C25" s="4"/>
      <c r="D25" s="4"/>
      <c r="E25" s="9" t="s">
        <v>17</v>
      </c>
    </row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51.88"/>
    <col customWidth="1" min="3" max="3" width="29.75"/>
    <col customWidth="1" min="4" max="4" width="3.38"/>
    <col customWidth="1" min="5" max="5" width="20.0"/>
    <col customWidth="1" min="6" max="6" width="19.63"/>
    <col customWidth="1" min="7" max="7" width="16.63"/>
    <col customWidth="1" min="8" max="8" width="19.88"/>
    <col customWidth="1" min="9" max="9" width="23.13"/>
    <col customWidth="1" min="10" max="10" width="24.13"/>
    <col customWidth="1" min="11" max="26" width="8.63"/>
  </cols>
  <sheetData>
    <row r="1" ht="12.75" customHeight="1"/>
    <row r="2" ht="21.0" customHeight="1">
      <c r="B2" s="14" t="s">
        <v>18</v>
      </c>
      <c r="C2" s="15"/>
    </row>
    <row r="3" ht="12.75" customHeight="1">
      <c r="B3" s="16" t="s">
        <v>19</v>
      </c>
      <c r="C3" s="17"/>
    </row>
    <row r="4" ht="42.0" customHeight="1">
      <c r="B4" s="18">
        <v>46023.0</v>
      </c>
      <c r="C4" s="19" t="s">
        <v>20</v>
      </c>
    </row>
    <row r="5" ht="48.75" customHeight="1">
      <c r="B5" s="20" t="s">
        <v>21</v>
      </c>
      <c r="C5" s="21">
        <v>1722955.0</v>
      </c>
      <c r="D5" s="22"/>
      <c r="E5" s="23" t="s">
        <v>22</v>
      </c>
      <c r="F5" s="24" t="s">
        <v>23</v>
      </c>
      <c r="G5" s="25"/>
      <c r="H5" s="26"/>
    </row>
    <row r="6" ht="12.75" customHeight="1">
      <c r="B6" s="20"/>
      <c r="C6" s="27"/>
      <c r="E6" s="28"/>
      <c r="F6" s="29"/>
      <c r="G6" s="30"/>
      <c r="H6" s="30"/>
    </row>
    <row r="7" ht="23.25" customHeight="1">
      <c r="B7" s="20" t="s">
        <v>24</v>
      </c>
      <c r="C7" s="21">
        <v>400594.0</v>
      </c>
      <c r="E7" s="31">
        <f>(C13/C27)+((7-C25)*C23)</f>
        <v>268.330599</v>
      </c>
      <c r="F7" s="32">
        <f>B4+E7</f>
        <v>46291.3306</v>
      </c>
      <c r="G7" s="30"/>
      <c r="H7" s="30"/>
      <c r="I7" s="30"/>
      <c r="J7" s="30"/>
    </row>
    <row r="8" ht="12.0" customHeight="1">
      <c r="B8" s="20"/>
      <c r="C8" s="33"/>
      <c r="E8" s="29"/>
      <c r="F8" s="29"/>
      <c r="G8" s="30"/>
      <c r="H8" s="30"/>
    </row>
    <row r="9" ht="24.0" customHeight="1">
      <c r="B9" s="20" t="s">
        <v>25</v>
      </c>
      <c r="C9" s="34">
        <v>0.3154</v>
      </c>
      <c r="E9" s="35"/>
      <c r="F9" s="36"/>
    </row>
    <row r="10" ht="12.0" customHeight="1">
      <c r="B10" s="37"/>
      <c r="C10" s="27"/>
      <c r="E10" s="38"/>
      <c r="F10" s="36"/>
    </row>
    <row r="11" ht="24.0" customHeight="1">
      <c r="B11" s="39" t="s">
        <v>26</v>
      </c>
      <c r="C11" s="40">
        <v>52.0</v>
      </c>
      <c r="E11" s="36"/>
      <c r="F11" s="36"/>
    </row>
    <row r="12" ht="15.0" customHeight="1">
      <c r="B12" s="39"/>
      <c r="C12" s="41"/>
      <c r="E12" s="36"/>
      <c r="F12" s="36"/>
    </row>
    <row r="13" ht="24.0" customHeight="1">
      <c r="B13" s="42" t="s">
        <v>27</v>
      </c>
      <c r="C13" s="43">
        <f>C7/C9</f>
        <v>1270114.141</v>
      </c>
    </row>
    <row r="14" ht="12.0" customHeight="1">
      <c r="B14" s="44"/>
      <c r="C14" s="45"/>
      <c r="E14" s="36"/>
      <c r="F14" s="36"/>
    </row>
    <row r="15" ht="24.0" customHeight="1">
      <c r="B15" s="46" t="s">
        <v>28</v>
      </c>
      <c r="C15" s="47">
        <f>(C5/C11)*4.3333</f>
        <v>143578.4789</v>
      </c>
      <c r="E15" s="28"/>
      <c r="F15" s="35"/>
    </row>
    <row r="16" ht="9.75" customHeight="1">
      <c r="B16" s="44"/>
      <c r="C16" s="45"/>
      <c r="E16" s="28"/>
      <c r="F16" s="35"/>
    </row>
    <row r="17" ht="24.0" customHeight="1">
      <c r="B17" s="46" t="s">
        <v>29</v>
      </c>
      <c r="C17" s="47">
        <f>((C7/C11)*4.3333)/C9</f>
        <v>105842.0309</v>
      </c>
      <c r="E17" s="28"/>
      <c r="F17" s="35"/>
    </row>
    <row r="18" ht="12.0" customHeight="1">
      <c r="B18" s="44"/>
      <c r="C18" s="45"/>
      <c r="E18" s="28"/>
      <c r="F18" s="35"/>
    </row>
    <row r="19" ht="24.0" customHeight="1">
      <c r="B19" s="48" t="s">
        <v>30</v>
      </c>
      <c r="C19" s="49">
        <f>C5/C11</f>
        <v>33133.75</v>
      </c>
      <c r="E19" s="28"/>
      <c r="F19" s="35"/>
    </row>
    <row r="20" ht="13.5" customHeight="1">
      <c r="B20" s="37"/>
      <c r="C20" s="27"/>
      <c r="E20" s="28"/>
      <c r="F20" s="35"/>
    </row>
    <row r="21" ht="24.0" customHeight="1">
      <c r="B21" s="48" t="s">
        <v>31</v>
      </c>
      <c r="C21" s="49">
        <f>(C7/C11)/(C9)</f>
        <v>24425.27194</v>
      </c>
      <c r="E21" s="36"/>
      <c r="F21" s="36"/>
    </row>
    <row r="22" ht="15.75" customHeight="1">
      <c r="B22" s="44"/>
      <c r="C22" s="50"/>
      <c r="E22" s="36"/>
      <c r="F22" s="36"/>
    </row>
    <row r="23" ht="24.0" customHeight="1">
      <c r="B23" s="51" t="s">
        <v>32</v>
      </c>
      <c r="C23" s="52">
        <f>C13/C19</f>
        <v>38.33294272</v>
      </c>
      <c r="E23" s="36"/>
      <c r="F23" s="36"/>
    </row>
    <row r="24" ht="15.0" customHeight="1">
      <c r="B24" s="53"/>
      <c r="C24" s="50"/>
      <c r="E24" s="36"/>
      <c r="F24" s="36"/>
    </row>
    <row r="25" ht="24.0" customHeight="1">
      <c r="B25" s="54" t="s">
        <v>33</v>
      </c>
      <c r="C25" s="55">
        <v>5.0</v>
      </c>
      <c r="E25" s="36"/>
      <c r="F25" s="36"/>
    </row>
    <row r="26" ht="16.5" customHeight="1">
      <c r="B26" s="56"/>
      <c r="C26" s="57"/>
      <c r="D26" s="58"/>
      <c r="E26" s="59"/>
      <c r="F26" s="36"/>
    </row>
    <row r="27" ht="24.0" customHeight="1">
      <c r="B27" s="60" t="s">
        <v>34</v>
      </c>
      <c r="C27" s="49">
        <f>C19/C25</f>
        <v>6626.75</v>
      </c>
      <c r="D27" s="61"/>
      <c r="E27" s="62"/>
      <c r="F27" s="36"/>
    </row>
    <row r="28" ht="15.75" customHeight="1">
      <c r="B28" s="56"/>
      <c r="C28" s="57"/>
      <c r="D28" s="61"/>
      <c r="E28" s="29"/>
      <c r="F28" s="35"/>
    </row>
    <row r="29" ht="24.0" customHeight="1">
      <c r="B29" s="63" t="s">
        <v>35</v>
      </c>
      <c r="C29" s="64">
        <f>C21/C25</f>
        <v>4885.054388</v>
      </c>
      <c r="D29" s="61"/>
      <c r="E29" s="62"/>
      <c r="F29" s="36"/>
    </row>
    <row r="30" ht="12.75" customHeight="1"/>
    <row r="31" ht="12.75" customHeight="1">
      <c r="B31" s="65"/>
      <c r="C31" s="25"/>
    </row>
    <row r="32" ht="12.75" customHeight="1">
      <c r="B32" s="58"/>
      <c r="C32" s="30"/>
      <c r="D32" s="58"/>
      <c r="E32" s="58"/>
    </row>
    <row r="33" ht="12.75" customHeight="1">
      <c r="B33" s="66"/>
      <c r="D33" s="61"/>
      <c r="E33" s="61"/>
    </row>
    <row r="34" ht="12.75" customHeight="1"/>
    <row r="35" ht="12.75" customHeight="1">
      <c r="B35" s="58"/>
      <c r="C35" s="61"/>
    </row>
    <row r="36" ht="12.75" customHeight="1"/>
    <row r="37" ht="12.75" customHeight="1">
      <c r="B37" s="58"/>
      <c r="C37" s="67"/>
    </row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B2:C2"/>
  </mergeCells>
  <printOptions/>
  <pageMargins bottom="1.0" footer="0.0" header="0.0" left="0.75" right="0.75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63.0"/>
    <col customWidth="1" min="3" max="3" width="29.75"/>
    <col customWidth="1" min="4" max="4" width="9.88"/>
    <col customWidth="1" min="5" max="5" width="32.88"/>
    <col customWidth="1" min="6" max="6" width="23.25"/>
    <col customWidth="1" min="7" max="7" width="24.38"/>
    <col customWidth="1" min="8" max="8" width="21.75"/>
    <col customWidth="1" min="9" max="9" width="26.63"/>
    <col customWidth="1" min="10" max="10" width="28.25"/>
    <col customWidth="1" min="11" max="11" width="24.88"/>
    <col customWidth="1" min="12" max="12" width="23.13"/>
    <col customWidth="1" min="13" max="13" width="24.13"/>
    <col customWidth="1" min="14" max="14" width="15.88"/>
    <col customWidth="1" min="15" max="26" width="8.63"/>
  </cols>
  <sheetData>
    <row r="1" ht="12.75" customHeight="1">
      <c r="B1" s="68"/>
      <c r="C1" s="69" t="s">
        <v>18</v>
      </c>
      <c r="D1" s="70"/>
      <c r="E1" s="71"/>
      <c r="F1" s="5"/>
      <c r="G1" s="5"/>
      <c r="H1" s="5"/>
      <c r="I1" s="5"/>
      <c r="J1" s="5"/>
      <c r="K1" s="5"/>
      <c r="L1" s="5"/>
      <c r="M1" s="5"/>
      <c r="N1" s="5"/>
    </row>
    <row r="2" ht="12.75" customHeight="1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ht="42.0" customHeight="1">
      <c r="B3" s="72" t="s">
        <v>21</v>
      </c>
      <c r="C3" s="73">
        <f>'Break-even'!C5</f>
        <v>1722955</v>
      </c>
      <c r="D3" s="5"/>
      <c r="E3" s="74" t="s">
        <v>36</v>
      </c>
      <c r="F3" s="75"/>
      <c r="G3" s="76"/>
      <c r="H3" s="77"/>
      <c r="I3" s="5"/>
      <c r="J3" s="5"/>
      <c r="K3" s="5"/>
      <c r="L3" s="5"/>
      <c r="M3" s="5"/>
      <c r="N3" s="5"/>
    </row>
    <row r="4" ht="27.75" customHeight="1">
      <c r="B4" s="78"/>
      <c r="C4" s="79"/>
      <c r="D4" s="5"/>
      <c r="E4" s="80">
        <v>350000.0</v>
      </c>
      <c r="F4" s="81"/>
      <c r="G4" s="82"/>
      <c r="H4" s="82"/>
      <c r="I4" s="5"/>
      <c r="J4" s="5"/>
      <c r="K4" s="5"/>
      <c r="L4" s="5"/>
      <c r="M4" s="5"/>
      <c r="N4" s="5"/>
    </row>
    <row r="5" ht="12.75" customHeight="1">
      <c r="B5" s="83"/>
      <c r="C5" s="84"/>
      <c r="D5" s="5"/>
      <c r="E5" s="85"/>
      <c r="F5" s="82"/>
      <c r="G5" s="82"/>
      <c r="H5" s="82"/>
      <c r="I5" s="5"/>
      <c r="J5" s="5"/>
      <c r="K5" s="5"/>
      <c r="L5" s="5"/>
      <c r="M5" s="5"/>
      <c r="N5" s="5"/>
    </row>
    <row r="6" ht="125.25" customHeight="1">
      <c r="B6" s="86"/>
      <c r="C6" s="87"/>
      <c r="D6" s="5"/>
      <c r="E6" s="88" t="s">
        <v>37</v>
      </c>
      <c r="F6" s="89" t="s">
        <v>38</v>
      </c>
      <c r="G6" s="90" t="s">
        <v>39</v>
      </c>
      <c r="H6" s="91" t="s">
        <v>40</v>
      </c>
      <c r="I6" s="89" t="s">
        <v>41</v>
      </c>
      <c r="J6" s="89" t="s">
        <v>42</v>
      </c>
      <c r="K6" s="89" t="s">
        <v>43</v>
      </c>
      <c r="L6" s="89" t="s">
        <v>44</v>
      </c>
      <c r="M6" s="89" t="s">
        <v>45</v>
      </c>
      <c r="N6" s="5"/>
    </row>
    <row r="7" ht="36.0" customHeight="1">
      <c r="B7" s="72" t="s">
        <v>24</v>
      </c>
      <c r="C7" s="73">
        <f>'Break-even'!C7</f>
        <v>400594</v>
      </c>
      <c r="D7" s="5"/>
      <c r="E7" s="92">
        <f>C7+(F7+G7+H7+I7+J7+K7++L7+M7)</f>
        <v>659594</v>
      </c>
      <c r="F7" s="93">
        <v>150000.0</v>
      </c>
      <c r="G7" s="93">
        <v>50000.0</v>
      </c>
      <c r="H7" s="93">
        <v>6000.0</v>
      </c>
      <c r="I7" s="93">
        <v>20000.0</v>
      </c>
      <c r="J7" s="92"/>
      <c r="K7" s="92"/>
      <c r="L7" s="92">
        <v>15000.0</v>
      </c>
      <c r="M7" s="92">
        <v>18000.0</v>
      </c>
      <c r="N7" s="5"/>
    </row>
    <row r="8" ht="12.75" customHeight="1">
      <c r="B8" s="78"/>
      <c r="C8" s="79"/>
      <c r="D8" s="94"/>
      <c r="E8" s="95"/>
      <c r="F8" s="95"/>
      <c r="G8" s="95"/>
      <c r="H8" s="95"/>
      <c r="I8" s="95"/>
      <c r="J8" s="95"/>
      <c r="K8" s="95"/>
      <c r="L8" s="95"/>
      <c r="M8" s="95"/>
      <c r="N8" s="5"/>
    </row>
    <row r="9" ht="81.75" customHeight="1">
      <c r="B9" s="83"/>
      <c r="C9" s="84"/>
      <c r="D9" s="94"/>
      <c r="E9" s="96" t="s">
        <v>46</v>
      </c>
      <c r="F9" s="97" t="s">
        <v>47</v>
      </c>
      <c r="G9" s="97" t="s">
        <v>48</v>
      </c>
      <c r="H9" s="95"/>
      <c r="I9" s="95"/>
      <c r="J9" s="95"/>
      <c r="K9" s="95"/>
      <c r="L9" s="95"/>
      <c r="M9" s="95"/>
      <c r="N9" s="5"/>
    </row>
    <row r="10" ht="12.75" customHeight="1">
      <c r="B10" s="83"/>
      <c r="C10" s="84"/>
      <c r="D10" s="94"/>
      <c r="E10" s="98"/>
      <c r="F10" s="99">
        <f>C7/C3</f>
        <v>0.232504041</v>
      </c>
      <c r="G10" s="99">
        <f>E7/G17</f>
        <v>0.3005299556</v>
      </c>
      <c r="H10" s="95"/>
      <c r="I10" s="95"/>
      <c r="J10" s="95"/>
      <c r="K10" s="95"/>
      <c r="L10" s="95"/>
      <c r="M10" s="95"/>
      <c r="N10" s="5"/>
    </row>
    <row r="11" ht="21.0" customHeight="1">
      <c r="B11" s="83"/>
      <c r="C11" s="84"/>
      <c r="D11" s="5"/>
      <c r="E11" s="82"/>
      <c r="F11" s="82"/>
      <c r="G11" s="82"/>
      <c r="H11" s="82"/>
      <c r="I11" s="5"/>
      <c r="J11" s="100" t="s">
        <v>49</v>
      </c>
      <c r="K11" s="79"/>
      <c r="L11" s="5"/>
      <c r="M11" s="5"/>
      <c r="N11" s="5"/>
    </row>
    <row r="12" ht="50.25" customHeight="1">
      <c r="B12" s="86"/>
      <c r="C12" s="87"/>
      <c r="D12" s="5"/>
      <c r="E12" s="101" t="s">
        <v>50</v>
      </c>
      <c r="F12" s="5"/>
      <c r="G12" s="5"/>
      <c r="H12" s="5"/>
      <c r="I12" s="5"/>
      <c r="J12" s="102"/>
      <c r="K12" s="103"/>
      <c r="L12" s="5"/>
      <c r="M12" s="5"/>
      <c r="N12" s="5"/>
    </row>
    <row r="13" ht="21.75" customHeight="1">
      <c r="B13" s="72" t="s">
        <v>25</v>
      </c>
      <c r="C13" s="104">
        <f>'Break-even'!C9</f>
        <v>0.3154</v>
      </c>
      <c r="D13" s="5"/>
      <c r="E13" s="105">
        <v>0.46</v>
      </c>
      <c r="F13" s="5"/>
      <c r="G13" s="5"/>
      <c r="H13" s="5"/>
      <c r="I13" s="5"/>
      <c r="J13" s="106">
        <v>46023.0</v>
      </c>
      <c r="K13" s="79"/>
      <c r="L13" s="5"/>
      <c r="M13" s="5"/>
      <c r="N13" s="5"/>
    </row>
    <row r="14" ht="12.75" customHeight="1">
      <c r="B14" s="107"/>
      <c r="C14" s="108"/>
      <c r="D14" s="5"/>
      <c r="E14" s="109"/>
      <c r="F14" s="5"/>
      <c r="G14" s="5"/>
      <c r="H14" s="5"/>
      <c r="I14" s="5"/>
      <c r="J14" s="86"/>
      <c r="K14" s="87"/>
      <c r="L14" s="5"/>
      <c r="M14" s="5"/>
      <c r="N14" s="5"/>
    </row>
    <row r="15" ht="24.0" customHeight="1">
      <c r="B15" s="110" t="s">
        <v>26</v>
      </c>
      <c r="C15" s="111">
        <f>'Break-even'!C11</f>
        <v>52</v>
      </c>
      <c r="D15" s="5"/>
      <c r="E15" s="112"/>
      <c r="F15" s="5"/>
      <c r="G15" s="113" t="s">
        <v>51</v>
      </c>
      <c r="H15" s="79"/>
      <c r="I15" s="5"/>
      <c r="J15" s="114" t="s">
        <v>22</v>
      </c>
      <c r="K15" s="115" t="s">
        <v>23</v>
      </c>
      <c r="L15" s="5"/>
      <c r="M15" s="5"/>
      <c r="N15" s="5"/>
    </row>
    <row r="16" ht="58.5" customHeight="1">
      <c r="B16" s="16"/>
      <c r="C16" s="108"/>
      <c r="D16" s="5"/>
      <c r="E16" s="116"/>
      <c r="F16" s="5"/>
      <c r="G16" s="86"/>
      <c r="H16" s="87"/>
      <c r="I16" s="5"/>
      <c r="J16" s="116"/>
      <c r="K16" s="117"/>
      <c r="L16" s="5"/>
      <c r="M16" s="5"/>
      <c r="N16" s="5"/>
    </row>
    <row r="17" ht="30.0" customHeight="1">
      <c r="B17" s="118" t="s">
        <v>27</v>
      </c>
      <c r="C17" s="119">
        <f>C7/C13</f>
        <v>1270114.141</v>
      </c>
      <c r="D17" s="5"/>
      <c r="E17" s="120">
        <f>E7/E13</f>
        <v>1433900</v>
      </c>
      <c r="F17" s="5"/>
      <c r="G17" s="121">
        <f>E17+(E4/E13)</f>
        <v>2194769.565</v>
      </c>
      <c r="H17" s="122"/>
      <c r="I17" s="5"/>
      <c r="J17" s="123">
        <f>(E17/G36)+((7-C32)*G30)</f>
        <v>237.8106605</v>
      </c>
      <c r="K17" s="124">
        <f>J13+J17</f>
        <v>46260.81066</v>
      </c>
      <c r="L17" s="5"/>
      <c r="M17" s="5"/>
      <c r="N17" s="5"/>
    </row>
    <row r="18" ht="12.75" customHeight="1">
      <c r="B18" s="125"/>
      <c r="C18" s="79"/>
      <c r="D18" s="5"/>
      <c r="E18" s="126"/>
      <c r="F18" s="77"/>
      <c r="G18" s="107"/>
      <c r="H18" s="108"/>
      <c r="I18" s="5"/>
      <c r="L18" s="5"/>
      <c r="M18" s="5"/>
      <c r="N18" s="5"/>
    </row>
    <row r="19" ht="56.25" customHeight="1">
      <c r="B19" s="83"/>
      <c r="C19" s="84"/>
      <c r="D19" s="5"/>
      <c r="E19" s="112"/>
      <c r="F19" s="77"/>
      <c r="G19" s="113" t="s">
        <v>52</v>
      </c>
      <c r="H19" s="79"/>
      <c r="I19" s="5"/>
      <c r="J19" s="5"/>
      <c r="K19" s="5"/>
      <c r="L19" s="5"/>
      <c r="M19" s="5"/>
      <c r="N19" s="5"/>
    </row>
    <row r="20" ht="37.5" customHeight="1">
      <c r="B20" s="86"/>
      <c r="C20" s="87"/>
      <c r="D20" s="94"/>
      <c r="E20" s="112"/>
      <c r="F20" s="127"/>
      <c r="G20" s="128"/>
      <c r="H20" s="129"/>
      <c r="I20" s="5"/>
      <c r="J20" s="5"/>
      <c r="K20" s="5"/>
      <c r="L20" s="5"/>
      <c r="M20" s="5"/>
      <c r="N20" s="5"/>
    </row>
    <row r="21" ht="31.5" customHeight="1">
      <c r="B21" s="130" t="s">
        <v>28</v>
      </c>
      <c r="C21" s="73">
        <f>'Break-even'!$C$15</f>
        <v>143578.4789</v>
      </c>
      <c r="D21" s="94"/>
      <c r="E21" s="112"/>
      <c r="F21" s="5"/>
      <c r="G21" s="131">
        <f>(G17/C15)*4.3333</f>
        <v>182896.0569</v>
      </c>
      <c r="H21" s="81"/>
      <c r="I21" s="5"/>
      <c r="J21" s="5"/>
      <c r="K21" s="5"/>
      <c r="L21" s="5"/>
      <c r="M21" s="5"/>
      <c r="N21" s="5"/>
    </row>
    <row r="22" ht="12.75" customHeight="1">
      <c r="B22" s="132"/>
      <c r="C22" s="108"/>
      <c r="D22" s="94"/>
      <c r="E22" s="116"/>
      <c r="F22" s="127"/>
      <c r="G22" s="107"/>
      <c r="H22" s="108"/>
      <c r="I22" s="5"/>
      <c r="J22" s="5"/>
      <c r="K22" s="5"/>
      <c r="L22" s="5"/>
      <c r="M22" s="5"/>
      <c r="N22" s="5"/>
    </row>
    <row r="23" ht="21.75" customHeight="1">
      <c r="B23" s="133" t="s">
        <v>29</v>
      </c>
      <c r="C23" s="134">
        <f>((C7/C15)*4.3333)/C13</f>
        <v>105842.0309</v>
      </c>
      <c r="D23" s="94"/>
      <c r="E23" s="119">
        <f>((E7/C15)*4.3333)/E13</f>
        <v>119490.7475</v>
      </c>
      <c r="F23" s="127"/>
      <c r="G23" s="113" t="s">
        <v>53</v>
      </c>
      <c r="H23" s="79"/>
      <c r="I23" s="5"/>
      <c r="J23" s="5"/>
      <c r="K23" s="5"/>
      <c r="L23" s="5"/>
      <c r="M23" s="5"/>
      <c r="N23" s="5"/>
    </row>
    <row r="24" ht="12.0" customHeight="1">
      <c r="B24" s="135"/>
      <c r="C24" s="136"/>
      <c r="D24" s="94"/>
      <c r="E24" s="137"/>
      <c r="F24" s="127"/>
      <c r="G24" s="83"/>
      <c r="H24" s="84"/>
      <c r="I24" s="5"/>
      <c r="J24" s="5"/>
      <c r="K24" s="5"/>
      <c r="L24" s="5"/>
      <c r="M24" s="5"/>
      <c r="N24" s="5"/>
    </row>
    <row r="25" ht="69.0" customHeight="1">
      <c r="B25" s="86"/>
      <c r="C25" s="87"/>
      <c r="D25" s="5"/>
      <c r="E25" s="112"/>
      <c r="F25" s="5"/>
      <c r="G25" s="102"/>
      <c r="H25" s="103"/>
      <c r="I25" s="5"/>
      <c r="J25" s="5"/>
      <c r="K25" s="5"/>
      <c r="L25" s="5"/>
      <c r="M25" s="5"/>
      <c r="N25" s="5"/>
    </row>
    <row r="26" ht="33.0" customHeight="1">
      <c r="B26" s="138" t="s">
        <v>54</v>
      </c>
      <c r="C26" s="120">
        <f>C3/C15</f>
        <v>33133.75</v>
      </c>
      <c r="D26" s="5"/>
      <c r="E26" s="112"/>
      <c r="F26" s="5"/>
      <c r="G26" s="139">
        <f>G17/C15</f>
        <v>42207.10702</v>
      </c>
      <c r="H26" s="108"/>
      <c r="I26" s="5"/>
      <c r="J26" s="5"/>
      <c r="K26" s="5"/>
      <c r="L26" s="5"/>
      <c r="M26" s="5"/>
      <c r="N26" s="5"/>
    </row>
    <row r="27" ht="12.75" customHeight="1">
      <c r="B27" s="107"/>
      <c r="C27" s="108"/>
      <c r="D27" s="5"/>
      <c r="E27" s="116"/>
      <c r="F27" s="5"/>
      <c r="G27" s="140" t="s">
        <v>32</v>
      </c>
      <c r="H27" s="136"/>
      <c r="I27" s="5"/>
      <c r="J27" s="5"/>
      <c r="K27" s="5"/>
      <c r="L27" s="5"/>
      <c r="M27" s="5"/>
      <c r="N27" s="5"/>
    </row>
    <row r="28" ht="12.75" customHeight="1">
      <c r="B28" s="141" t="s">
        <v>31</v>
      </c>
      <c r="C28" s="142">
        <f>(C7/C15)/(C13)</f>
        <v>24425.27194</v>
      </c>
      <c r="D28" s="5"/>
      <c r="E28" s="120">
        <f>(E7/C15)/(E13)</f>
        <v>27575</v>
      </c>
      <c r="F28" s="5"/>
      <c r="G28" s="83"/>
      <c r="H28" s="84"/>
      <c r="I28" s="5"/>
      <c r="J28" s="5"/>
      <c r="K28" s="5"/>
      <c r="L28" s="5"/>
      <c r="M28" s="5"/>
      <c r="N28" s="5"/>
    </row>
    <row r="29" ht="12.75" customHeight="1">
      <c r="B29" s="143"/>
      <c r="C29" s="84"/>
      <c r="D29" s="5"/>
      <c r="E29" s="109"/>
      <c r="F29" s="5"/>
      <c r="G29" s="102"/>
      <c r="H29" s="103"/>
      <c r="I29" s="5"/>
      <c r="J29" s="5"/>
      <c r="K29" s="5"/>
      <c r="L29" s="5"/>
      <c r="M29" s="5"/>
      <c r="N29" s="5"/>
    </row>
    <row r="30" ht="12.75" customHeight="1">
      <c r="B30" s="144" t="s">
        <v>32</v>
      </c>
      <c r="C30" s="145">
        <f>C17/C26</f>
        <v>38.33294272</v>
      </c>
      <c r="D30" s="5"/>
      <c r="E30" s="112"/>
      <c r="F30" s="5"/>
      <c r="G30" s="146">
        <f>E17/G26</f>
        <v>33.9729515</v>
      </c>
      <c r="H30" s="108"/>
      <c r="I30" s="5"/>
      <c r="J30" s="5"/>
      <c r="K30" s="5"/>
      <c r="L30" s="5"/>
      <c r="M30" s="5"/>
      <c r="N30" s="5"/>
    </row>
    <row r="31" ht="33.0" customHeight="1">
      <c r="B31" s="147"/>
      <c r="C31" s="87"/>
      <c r="D31" s="5"/>
      <c r="E31" s="112"/>
      <c r="F31" s="5"/>
      <c r="G31" s="148" t="s">
        <v>55</v>
      </c>
      <c r="H31" s="136"/>
      <c r="I31" s="5"/>
      <c r="J31" s="5"/>
      <c r="K31" s="5"/>
      <c r="L31" s="5"/>
      <c r="M31" s="5"/>
      <c r="N31" s="5"/>
    </row>
    <row r="32" ht="12.75" customHeight="1">
      <c r="B32" s="149" t="s">
        <v>33</v>
      </c>
      <c r="C32" s="150">
        <f>'Break-even'!C25</f>
        <v>5</v>
      </c>
      <c r="D32" s="151"/>
      <c r="E32" s="112"/>
      <c r="F32" s="5"/>
      <c r="G32" s="83"/>
      <c r="H32" s="84"/>
      <c r="I32" s="5"/>
      <c r="J32" s="5"/>
      <c r="K32" s="5"/>
      <c r="L32" s="5"/>
      <c r="M32" s="5"/>
      <c r="N32" s="5"/>
    </row>
    <row r="33" ht="24.0" customHeight="1">
      <c r="B33" s="152"/>
      <c r="C33" s="108"/>
      <c r="D33" s="153"/>
      <c r="E33" s="112"/>
      <c r="F33" s="5"/>
      <c r="G33" s="83"/>
      <c r="H33" s="84"/>
      <c r="I33" s="5"/>
      <c r="J33" s="5"/>
      <c r="K33" s="5"/>
      <c r="L33" s="5"/>
      <c r="M33" s="5"/>
      <c r="N33" s="5"/>
    </row>
    <row r="34" ht="33.0" customHeight="1">
      <c r="B34" s="154" t="s">
        <v>34</v>
      </c>
      <c r="C34" s="120">
        <f>C26/C32</f>
        <v>6626.75</v>
      </c>
      <c r="D34" s="153"/>
      <c r="E34" s="112"/>
      <c r="F34" s="5"/>
      <c r="G34" s="83"/>
      <c r="H34" s="84"/>
      <c r="I34" s="5"/>
      <c r="J34" s="5"/>
      <c r="K34" s="5"/>
      <c r="L34" s="5"/>
      <c r="M34" s="5"/>
      <c r="N34" s="5"/>
    </row>
    <row r="35" ht="12.75" customHeight="1">
      <c r="B35" s="152"/>
      <c r="C35" s="108"/>
      <c r="D35" s="153"/>
      <c r="E35" s="116"/>
      <c r="F35" s="5"/>
      <c r="G35" s="86"/>
      <c r="H35" s="87"/>
      <c r="I35" s="5"/>
      <c r="J35" s="5"/>
      <c r="K35" s="5"/>
      <c r="L35" s="5"/>
      <c r="M35" s="5"/>
      <c r="N35" s="5"/>
    </row>
    <row r="36" ht="12.75" customHeight="1">
      <c r="B36" s="155" t="s">
        <v>35</v>
      </c>
      <c r="C36" s="119">
        <f>C28/C32</f>
        <v>4885.054388</v>
      </c>
      <c r="D36" s="5"/>
      <c r="E36" s="120">
        <f>E28/C32</f>
        <v>5515</v>
      </c>
      <c r="F36" s="5"/>
      <c r="G36" s="121">
        <f>G26/C32</f>
        <v>8441.421405</v>
      </c>
      <c r="H36" s="122"/>
      <c r="I36" s="5"/>
      <c r="J36" s="5"/>
      <c r="K36" s="5"/>
      <c r="L36" s="5"/>
      <c r="M36" s="5"/>
      <c r="N36" s="5"/>
    </row>
    <row r="37" ht="12.75" customHeight="1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</row>
    <row r="38" ht="12.75" customHeight="1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</row>
    <row r="39" ht="12.75" customHeight="1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5">
    <mergeCell ref="C1:E1"/>
    <mergeCell ref="E3:F3"/>
    <mergeCell ref="B4:C6"/>
    <mergeCell ref="E4:F4"/>
    <mergeCell ref="B8:C12"/>
    <mergeCell ref="J11:K12"/>
    <mergeCell ref="J13:K14"/>
    <mergeCell ref="E14:E16"/>
    <mergeCell ref="E18:E22"/>
    <mergeCell ref="E24:E27"/>
    <mergeCell ref="E29:E35"/>
    <mergeCell ref="B22:C22"/>
    <mergeCell ref="G22:H22"/>
    <mergeCell ref="B24:C25"/>
    <mergeCell ref="B27:C27"/>
    <mergeCell ref="B29:C29"/>
    <mergeCell ref="B31:C31"/>
    <mergeCell ref="B33:C33"/>
    <mergeCell ref="B35:C35"/>
    <mergeCell ref="B14:C14"/>
    <mergeCell ref="G15:H16"/>
    <mergeCell ref="J15:J16"/>
    <mergeCell ref="K15:K16"/>
    <mergeCell ref="B16:C16"/>
    <mergeCell ref="G17:H17"/>
    <mergeCell ref="B18:C20"/>
    <mergeCell ref="G31:H35"/>
    <mergeCell ref="G36:H36"/>
    <mergeCell ref="G18:H18"/>
    <mergeCell ref="G19:H20"/>
    <mergeCell ref="G21:H21"/>
    <mergeCell ref="G23:H25"/>
    <mergeCell ref="G26:H26"/>
    <mergeCell ref="G27:H29"/>
    <mergeCell ref="G30:H30"/>
  </mergeCells>
  <printOptions/>
  <pageMargins bottom="1.0" footer="0.0" header="0.0" left="0.75" right="0.75" top="1.0"/>
  <pageSetup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13.63"/>
    <col customWidth="1" min="3" max="3" width="15.25"/>
    <col customWidth="1" min="4" max="4" width="13.13"/>
    <col customWidth="1" min="5" max="5" width="12.13"/>
    <col customWidth="1" min="6" max="6" width="19.75"/>
    <col customWidth="1" min="7" max="7" width="13.0"/>
    <col customWidth="1" min="8" max="8" width="15.88"/>
    <col customWidth="1" min="9" max="9" width="13.38"/>
    <col customWidth="1" min="10" max="10" width="13.88"/>
    <col customWidth="1" min="11" max="11" width="13.38"/>
    <col customWidth="1" min="12" max="12" width="14.88"/>
    <col customWidth="1" min="13" max="13" width="14.0"/>
    <col customWidth="1" min="14" max="14" width="5.25"/>
    <col customWidth="1" min="15" max="15" width="12.63"/>
    <col customWidth="1" min="16" max="16" width="12.0"/>
    <col customWidth="1" min="17" max="17" width="14.13"/>
    <col customWidth="1" min="18" max="18" width="11.88"/>
    <col customWidth="1" min="19" max="19" width="3.75"/>
    <col customWidth="1" min="20" max="21" width="13.0"/>
    <col customWidth="1" min="22" max="22" width="14.13"/>
    <col customWidth="1" min="23" max="23" width="12.63"/>
    <col customWidth="1" min="24" max="24" width="4.13"/>
    <col customWidth="1" min="25" max="26" width="13.88"/>
    <col customWidth="1" min="27" max="27" width="14.25"/>
    <col customWidth="1" min="28" max="28" width="12.63"/>
  </cols>
  <sheetData>
    <row r="1" ht="12.75" customHeight="1">
      <c r="B1" s="14" t="s">
        <v>18</v>
      </c>
      <c r="C1" s="156"/>
      <c r="D1" s="156"/>
      <c r="E1" s="156"/>
      <c r="F1" s="156"/>
      <c r="G1" s="156"/>
      <c r="H1" s="156"/>
      <c r="I1" s="15"/>
      <c r="J1" s="36"/>
    </row>
    <row r="2" ht="12.75" customHeight="1">
      <c r="B2" s="157"/>
      <c r="C2" s="158"/>
      <c r="D2" s="158"/>
      <c r="E2" s="158"/>
      <c r="F2" s="159" t="s">
        <v>56</v>
      </c>
      <c r="G2" s="160"/>
      <c r="H2" s="75"/>
      <c r="I2" s="161"/>
      <c r="J2" s="36"/>
    </row>
    <row r="3" ht="46.5" customHeight="1">
      <c r="B3" s="162" t="s">
        <v>57</v>
      </c>
      <c r="C3" s="156"/>
      <c r="D3" s="15"/>
      <c r="F3" s="163" t="s">
        <v>58</v>
      </c>
      <c r="G3" s="164"/>
      <c r="H3" s="81"/>
      <c r="I3" s="165"/>
      <c r="J3" s="36"/>
      <c r="K3" s="166" t="s">
        <v>59</v>
      </c>
      <c r="L3" s="167"/>
      <c r="M3" s="79"/>
    </row>
    <row r="4" ht="27.0" customHeight="1">
      <c r="B4" s="168">
        <f>Budget!E23</f>
        <v>119490.7475</v>
      </c>
      <c r="C4" s="169"/>
      <c r="D4" s="108"/>
      <c r="E4" s="170"/>
      <c r="H4" s="171"/>
      <c r="I4" s="165"/>
      <c r="J4" s="36"/>
      <c r="K4" s="86"/>
      <c r="L4" s="172"/>
      <c r="M4" s="87"/>
    </row>
    <row r="5" ht="17.25" customHeight="1">
      <c r="B5" s="173" t="s">
        <v>60</v>
      </c>
      <c r="D5" s="84"/>
      <c r="F5" s="174" t="s">
        <v>61</v>
      </c>
      <c r="H5" s="175" t="s">
        <v>62</v>
      </c>
      <c r="I5" s="79"/>
      <c r="J5" s="36"/>
    </row>
    <row r="6" ht="13.5" customHeight="1">
      <c r="B6" s="86"/>
      <c r="C6" s="172"/>
      <c r="D6" s="87"/>
      <c r="F6" s="116"/>
      <c r="H6" s="86"/>
      <c r="I6" s="87"/>
      <c r="J6" s="36"/>
      <c r="K6" s="176"/>
      <c r="L6" s="176"/>
      <c r="M6" s="176"/>
      <c r="N6" s="176"/>
      <c r="O6" s="177"/>
    </row>
    <row r="7" ht="12.75" customHeight="1">
      <c r="B7" s="178" t="s">
        <v>63</v>
      </c>
      <c r="C7" s="179"/>
      <c r="D7" s="180" t="s">
        <v>64</v>
      </c>
      <c r="F7" s="181" t="s">
        <v>65</v>
      </c>
      <c r="H7" s="181" t="s">
        <v>66</v>
      </c>
      <c r="I7" s="182" t="s">
        <v>67</v>
      </c>
      <c r="J7" s="36"/>
      <c r="K7" s="183"/>
      <c r="L7" s="183"/>
      <c r="M7" s="184"/>
      <c r="N7" s="184"/>
      <c r="O7" s="184"/>
    </row>
    <row r="8" ht="12.75" customHeight="1">
      <c r="B8" s="185" t="s">
        <v>68</v>
      </c>
      <c r="C8" s="186">
        <f t="shared" ref="C8:C19" si="1">D27</f>
        <v>0.06182423536</v>
      </c>
      <c r="D8" s="187">
        <f>(Budget!G17)*C8</f>
        <v>135689.9502</v>
      </c>
      <c r="F8" s="112"/>
      <c r="H8" s="188">
        <v>0.0</v>
      </c>
      <c r="I8" s="189">
        <f t="shared" ref="I8:I19" si="2">D8+H8</f>
        <v>135689.9502</v>
      </c>
      <c r="J8" s="190"/>
      <c r="K8" s="183"/>
      <c r="L8" s="183"/>
      <c r="M8" s="184"/>
      <c r="N8" s="184"/>
      <c r="O8" s="184"/>
    </row>
    <row r="9" ht="17.25" customHeight="1">
      <c r="B9" s="191" t="s">
        <v>69</v>
      </c>
      <c r="C9" s="186">
        <f t="shared" si="1"/>
        <v>0.05737590549</v>
      </c>
      <c r="D9" s="192">
        <f>(Budget!G17)*C9</f>
        <v>125926.8911</v>
      </c>
      <c r="F9" s="112"/>
      <c r="H9" s="193">
        <v>0.0</v>
      </c>
      <c r="I9" s="192">
        <f t="shared" si="2"/>
        <v>125926.8911</v>
      </c>
      <c r="J9" s="190"/>
      <c r="K9" s="183"/>
      <c r="L9" s="183"/>
      <c r="M9" s="4"/>
      <c r="N9" s="4"/>
      <c r="O9" s="4"/>
    </row>
    <row r="10" ht="20.25" customHeight="1">
      <c r="B10" s="194" t="s">
        <v>70</v>
      </c>
      <c r="C10" s="186">
        <f t="shared" si="1"/>
        <v>0.04413442204</v>
      </c>
      <c r="D10" s="189">
        <f>(Budget!G17)*C10</f>
        <v>96864.88628</v>
      </c>
      <c r="F10" s="112"/>
      <c r="H10" s="188">
        <v>0.0</v>
      </c>
      <c r="I10" s="189">
        <f t="shared" si="2"/>
        <v>96864.88628</v>
      </c>
      <c r="J10" s="176"/>
      <c r="K10" s="183"/>
      <c r="L10" s="183"/>
      <c r="M10" s="195"/>
      <c r="N10" s="195"/>
      <c r="O10" s="195"/>
    </row>
    <row r="11" ht="21.0" customHeight="1">
      <c r="B11" s="191" t="s">
        <v>71</v>
      </c>
      <c r="C11" s="186">
        <f t="shared" si="1"/>
        <v>0.08596491851</v>
      </c>
      <c r="D11" s="192">
        <f>(Budget!G17)*C11</f>
        <v>188673.1868</v>
      </c>
      <c r="F11" s="116"/>
      <c r="H11" s="193">
        <v>0.0</v>
      </c>
      <c r="I11" s="192">
        <f t="shared" si="2"/>
        <v>188673.1868</v>
      </c>
      <c r="J11" s="176"/>
      <c r="K11" s="183"/>
      <c r="L11" s="183"/>
      <c r="M11" s="4"/>
      <c r="N11" s="4"/>
      <c r="O11" s="4"/>
    </row>
    <row r="12" ht="18.0" customHeight="1">
      <c r="B12" s="194" t="s">
        <v>72</v>
      </c>
      <c r="C12" s="186">
        <f t="shared" si="1"/>
        <v>0.08837032072</v>
      </c>
      <c r="D12" s="189">
        <f>(Budget!G17)*C12</f>
        <v>193952.4904</v>
      </c>
      <c r="F12" s="196"/>
      <c r="H12" s="188">
        <v>0.0</v>
      </c>
      <c r="I12" s="189">
        <f t="shared" si="2"/>
        <v>193952.4904</v>
      </c>
      <c r="J12" s="176"/>
      <c r="K12" s="197"/>
      <c r="M12" s="198"/>
      <c r="N12" s="198"/>
      <c r="O12" s="198"/>
    </row>
    <row r="13" ht="27.0" customHeight="1">
      <c r="B13" s="191" t="s">
        <v>73</v>
      </c>
      <c r="C13" s="186">
        <f t="shared" si="1"/>
        <v>0.09641660625</v>
      </c>
      <c r="D13" s="192">
        <f>(Budget!G17)*C13</f>
        <v>211612.233</v>
      </c>
      <c r="F13" s="181" t="s">
        <v>74</v>
      </c>
      <c r="H13" s="193">
        <v>0.0</v>
      </c>
      <c r="I13" s="192">
        <f t="shared" si="2"/>
        <v>211612.233</v>
      </c>
      <c r="J13" s="176"/>
      <c r="K13" s="197"/>
      <c r="L13" s="197"/>
      <c r="M13" s="197"/>
      <c r="N13" s="198"/>
      <c r="O13" s="199"/>
    </row>
    <row r="14" ht="19.5" customHeight="1">
      <c r="B14" s="194" t="s">
        <v>75</v>
      </c>
      <c r="C14" s="186">
        <f t="shared" si="1"/>
        <v>0.1219564493</v>
      </c>
      <c r="D14" s="189">
        <f>(Budget!G17)*C14</f>
        <v>267666.3031</v>
      </c>
      <c r="F14" s="112"/>
      <c r="G14" s="196"/>
      <c r="H14" s="188">
        <v>0.0</v>
      </c>
      <c r="I14" s="189">
        <f t="shared" si="2"/>
        <v>267666.3031</v>
      </c>
      <c r="J14" s="176"/>
      <c r="K14" s="197"/>
      <c r="L14" s="197"/>
      <c r="M14" s="197"/>
      <c r="N14" s="4"/>
      <c r="O14" s="199"/>
    </row>
    <row r="15" ht="12.75" customHeight="1">
      <c r="B15" s="191" t="s">
        <v>76</v>
      </c>
      <c r="C15" s="186">
        <f t="shared" si="1"/>
        <v>0.1479519224</v>
      </c>
      <c r="D15" s="192">
        <f>(Budget!G17)*C15</f>
        <v>324720.3764</v>
      </c>
      <c r="F15" s="112"/>
      <c r="G15" s="196"/>
      <c r="H15" s="193">
        <v>0.0</v>
      </c>
      <c r="I15" s="192">
        <f t="shared" si="2"/>
        <v>324720.3764</v>
      </c>
      <c r="J15" s="176"/>
      <c r="K15" s="197"/>
      <c r="L15" s="197"/>
      <c r="M15" s="197"/>
      <c r="N15" s="4"/>
      <c r="O15" s="199"/>
    </row>
    <row r="16" ht="28.5" customHeight="1">
      <c r="B16" s="194" t="s">
        <v>77</v>
      </c>
      <c r="C16" s="186">
        <f t="shared" si="1"/>
        <v>0.08681265434</v>
      </c>
      <c r="D16" s="189">
        <f>(Budget!G17)*C16</f>
        <v>190533.7716</v>
      </c>
      <c r="F16" s="116"/>
      <c r="G16" s="196"/>
      <c r="H16" s="188">
        <v>0.0</v>
      </c>
      <c r="I16" s="189">
        <f t="shared" si="2"/>
        <v>190533.7716</v>
      </c>
      <c r="J16" s="176"/>
      <c r="K16" s="197"/>
      <c r="L16" s="197"/>
      <c r="M16" s="197"/>
      <c r="N16" s="4"/>
      <c r="O16" s="199"/>
    </row>
    <row r="17" ht="12.75" customHeight="1">
      <c r="B17" s="191" t="s">
        <v>78</v>
      </c>
      <c r="C17" s="186">
        <f t="shared" si="1"/>
        <v>0.07693065645</v>
      </c>
      <c r="D17" s="192">
        <f>(Budget!G17)*C17</f>
        <v>168845.0634</v>
      </c>
      <c r="F17" s="196"/>
      <c r="H17" s="193">
        <v>0.0</v>
      </c>
      <c r="I17" s="192">
        <f t="shared" si="2"/>
        <v>168845.0634</v>
      </c>
      <c r="J17" s="176"/>
      <c r="K17" s="197"/>
      <c r="L17" s="197"/>
      <c r="M17" s="197"/>
      <c r="N17" s="4"/>
      <c r="O17" s="199"/>
    </row>
    <row r="18" ht="20.25" customHeight="1">
      <c r="B18" s="194" t="s">
        <v>79</v>
      </c>
      <c r="C18" s="186">
        <f t="shared" si="1"/>
        <v>0.06949257115</v>
      </c>
      <c r="D18" s="189">
        <f>(Budget!G17)*C18</f>
        <v>152520.1802</v>
      </c>
      <c r="F18" s="181" t="s">
        <v>80</v>
      </c>
      <c r="H18" s="188">
        <v>0.0</v>
      </c>
      <c r="I18" s="189">
        <f t="shared" si="2"/>
        <v>152520.1802</v>
      </c>
      <c r="J18" s="176"/>
      <c r="K18" s="197"/>
      <c r="L18" s="197"/>
      <c r="M18" s="197"/>
      <c r="N18" s="4"/>
      <c r="O18" s="199"/>
    </row>
    <row r="19" ht="12.75" customHeight="1">
      <c r="B19" s="185" t="s">
        <v>81</v>
      </c>
      <c r="C19" s="200">
        <f t="shared" si="1"/>
        <v>0.06276933802</v>
      </c>
      <c r="D19" s="189">
        <f>(Budget!G17)*C19</f>
        <v>137764.2327</v>
      </c>
      <c r="F19" s="112"/>
      <c r="H19" s="188">
        <v>0.0</v>
      </c>
      <c r="I19" s="192">
        <f t="shared" si="2"/>
        <v>137764.2327</v>
      </c>
      <c r="J19" s="176"/>
      <c r="K19" s="197"/>
      <c r="L19" s="197"/>
      <c r="M19" s="197"/>
      <c r="N19" s="4"/>
      <c r="O19" s="199"/>
    </row>
    <row r="20" ht="16.5" customHeight="1">
      <c r="B20" s="201"/>
      <c r="C20" s="202">
        <f t="shared" ref="C20:D20" si="3">SUM(C8:C19)</f>
        <v>1</v>
      </c>
      <c r="D20" s="203">
        <f t="shared" si="3"/>
        <v>2194769.565</v>
      </c>
      <c r="F20" s="112"/>
      <c r="H20" s="204"/>
      <c r="I20" s="189">
        <f>SUM(I8:I19)</f>
        <v>2194769.565</v>
      </c>
      <c r="J20" s="176"/>
      <c r="K20" s="4"/>
      <c r="L20" s="4"/>
      <c r="M20" s="4"/>
      <c r="N20" s="4"/>
      <c r="O20" s="4"/>
    </row>
    <row r="21" ht="12.75" customHeight="1">
      <c r="B21" s="201"/>
      <c r="C21" s="205"/>
      <c r="D21" s="206"/>
      <c r="E21" s="207"/>
      <c r="F21" s="116"/>
      <c r="G21" s="207"/>
      <c r="H21" s="207"/>
      <c r="I21" s="208"/>
      <c r="J21" s="176"/>
      <c r="K21" s="209"/>
      <c r="L21" s="209"/>
      <c r="M21" s="209"/>
      <c r="N21" s="210"/>
      <c r="O21" s="211"/>
    </row>
    <row r="22" ht="12.75" customHeight="1">
      <c r="J22" s="176"/>
    </row>
    <row r="23" ht="24.0" customHeight="1">
      <c r="B23" s="4"/>
      <c r="H23" s="4"/>
      <c r="I23" s="4"/>
      <c r="J23" s="176"/>
      <c r="R23" s="4"/>
      <c r="S23" s="4"/>
      <c r="T23" s="4"/>
      <c r="U23" s="4"/>
      <c r="V23" s="4"/>
      <c r="W23" s="4"/>
    </row>
    <row r="24" ht="26.25" customHeight="1">
      <c r="B24" s="4"/>
      <c r="H24" s="4"/>
      <c r="I24" s="212"/>
      <c r="J24" s="213" t="s">
        <v>82</v>
      </c>
      <c r="K24" s="167"/>
      <c r="L24" s="167"/>
      <c r="M24" s="167"/>
      <c r="N24" s="167"/>
      <c r="O24" s="167"/>
      <c r="P24" s="167"/>
      <c r="Q24" s="167"/>
      <c r="R24" s="167"/>
      <c r="S24" s="167"/>
      <c r="T24" s="167"/>
      <c r="U24" s="167"/>
      <c r="V24" s="167"/>
      <c r="W24" s="167"/>
      <c r="X24" s="167"/>
      <c r="Y24" s="167"/>
      <c r="Z24" s="167"/>
      <c r="AA24" s="167"/>
      <c r="AB24" s="79"/>
    </row>
    <row r="25" ht="31.5" customHeight="1">
      <c r="B25" s="4"/>
      <c r="C25" s="214" t="s">
        <v>83</v>
      </c>
      <c r="D25" s="169"/>
      <c r="E25" s="169"/>
      <c r="F25" s="169"/>
      <c r="G25" s="108"/>
      <c r="H25" s="4"/>
      <c r="I25" s="215"/>
      <c r="J25" s="216">
        <v>2023.0</v>
      </c>
      <c r="K25" s="160"/>
      <c r="L25" s="160"/>
      <c r="M25" s="75"/>
      <c r="N25" s="4"/>
      <c r="O25" s="216">
        <v>2024.0</v>
      </c>
      <c r="P25" s="160"/>
      <c r="Q25" s="160"/>
      <c r="R25" s="75"/>
      <c r="S25" s="4"/>
      <c r="T25" s="216">
        <v>2025.0</v>
      </c>
      <c r="U25" s="160"/>
      <c r="V25" s="160"/>
      <c r="W25" s="75"/>
      <c r="X25" s="4"/>
      <c r="Y25" s="217" t="s">
        <v>84</v>
      </c>
      <c r="Z25" s="218"/>
      <c r="AA25" s="219"/>
      <c r="AB25" s="220"/>
    </row>
    <row r="26" ht="12.75" customHeight="1">
      <c r="B26" s="4"/>
      <c r="C26" s="221"/>
      <c r="D26" s="222" t="s">
        <v>85</v>
      </c>
      <c r="E26" s="222" t="s">
        <v>86</v>
      </c>
      <c r="F26" s="222" t="s">
        <v>87</v>
      </c>
      <c r="G26" s="220" t="s">
        <v>88</v>
      </c>
      <c r="H26" s="4"/>
      <c r="I26" s="223"/>
      <c r="J26" s="224" t="s">
        <v>85</v>
      </c>
      <c r="K26" s="225" t="s">
        <v>86</v>
      </c>
      <c r="L26" s="225" t="s">
        <v>87</v>
      </c>
      <c r="M26" s="226" t="s">
        <v>88</v>
      </c>
      <c r="N26" s="4"/>
      <c r="O26" s="224" t="s">
        <v>85</v>
      </c>
      <c r="P26" s="227" t="s">
        <v>86</v>
      </c>
      <c r="Q26" s="227" t="s">
        <v>87</v>
      </c>
      <c r="R26" s="226" t="s">
        <v>88</v>
      </c>
      <c r="S26" s="4"/>
      <c r="T26" s="228" t="s">
        <v>85</v>
      </c>
      <c r="U26" s="227" t="s">
        <v>86</v>
      </c>
      <c r="V26" s="227" t="s">
        <v>87</v>
      </c>
      <c r="W26" s="226" t="s">
        <v>88</v>
      </c>
      <c r="X26" s="4"/>
      <c r="Y26" s="224" t="s">
        <v>85</v>
      </c>
      <c r="Z26" s="225" t="s">
        <v>86</v>
      </c>
      <c r="AA26" s="225" t="s">
        <v>87</v>
      </c>
      <c r="AB26" s="226" t="s">
        <v>88</v>
      </c>
    </row>
    <row r="27" ht="13.5" customHeight="1">
      <c r="B27" s="4"/>
      <c r="C27" s="224" t="s">
        <v>89</v>
      </c>
      <c r="D27" s="229">
        <f t="shared" ref="D27:D38" si="5">Y27/$Y$39</f>
        <v>0.06182423536</v>
      </c>
      <c r="E27" s="229">
        <f t="shared" ref="E27:E38" si="6">Z27/$Z$39</f>
        <v>0.06330254964</v>
      </c>
      <c r="F27" s="229">
        <f t="shared" ref="F27:F38" si="7">AA27/$AA$39</f>
        <v>0.06372081244</v>
      </c>
      <c r="G27" s="230">
        <f t="shared" ref="G27:G36" si="8">AB27/$AB$39</f>
        <v>0</v>
      </c>
      <c r="H27" s="4"/>
      <c r="I27" s="231" t="s">
        <v>89</v>
      </c>
      <c r="J27" s="232">
        <f t="shared" ref="J27:J39" si="9">K27+L27+M27</f>
        <v>97104</v>
      </c>
      <c r="K27" s="233">
        <v>71701.0</v>
      </c>
      <c r="L27" s="233">
        <v>25403.0</v>
      </c>
      <c r="M27" s="234">
        <v>0.0</v>
      </c>
      <c r="N27" s="176"/>
      <c r="O27" s="235">
        <f t="shared" ref="O27:O39" si="10">P27+Q27+R27</f>
        <v>121948</v>
      </c>
      <c r="P27" s="236">
        <v>90858.0</v>
      </c>
      <c r="Q27" s="236">
        <v>31090.0</v>
      </c>
      <c r="R27" s="237"/>
      <c r="S27" s="176"/>
      <c r="T27" s="235">
        <f t="shared" ref="T27:T39" si="11">U27+V27+W27</f>
        <v>85571</v>
      </c>
      <c r="U27" s="236">
        <v>57527.0</v>
      </c>
      <c r="V27" s="236">
        <v>28044.0</v>
      </c>
      <c r="W27" s="237"/>
      <c r="X27" s="4"/>
      <c r="Y27" s="232">
        <f t="shared" ref="Y27:Y38" si="12">Z27+AA27+AB27</f>
        <v>304623</v>
      </c>
      <c r="Z27" s="238">
        <f t="shared" ref="Z27:AB27" si="4">U27+P27+K27</f>
        <v>220086</v>
      </c>
      <c r="AA27" s="238">
        <f t="shared" si="4"/>
        <v>84537</v>
      </c>
      <c r="AB27" s="239">
        <f t="shared" si="4"/>
        <v>0</v>
      </c>
    </row>
    <row r="28" ht="13.5" customHeight="1">
      <c r="B28" s="4"/>
      <c r="C28" s="224" t="s">
        <v>90</v>
      </c>
      <c r="D28" s="229">
        <f t="shared" si="5"/>
        <v>0.05737590549</v>
      </c>
      <c r="E28" s="229">
        <f t="shared" si="6"/>
        <v>0.0586775167</v>
      </c>
      <c r="F28" s="229">
        <f t="shared" si="7"/>
        <v>0.05932034751</v>
      </c>
      <c r="G28" s="230">
        <f t="shared" si="8"/>
        <v>0</v>
      </c>
      <c r="H28" s="4"/>
      <c r="I28" s="240" t="s">
        <v>90</v>
      </c>
      <c r="J28" s="232">
        <f t="shared" si="9"/>
        <v>98987</v>
      </c>
      <c r="K28" s="233">
        <v>62516.0</v>
      </c>
      <c r="L28" s="233">
        <v>36471.0</v>
      </c>
      <c r="M28" s="234"/>
      <c r="N28" s="176"/>
      <c r="O28" s="235">
        <f t="shared" si="10"/>
        <v>85950</v>
      </c>
      <c r="P28" s="236">
        <v>67745.0</v>
      </c>
      <c r="Q28" s="236">
        <v>18205.0</v>
      </c>
      <c r="R28" s="237"/>
      <c r="S28" s="176"/>
      <c r="T28" s="235">
        <f t="shared" si="11"/>
        <v>97768</v>
      </c>
      <c r="U28" s="236">
        <v>73745.0</v>
      </c>
      <c r="V28" s="236">
        <v>24023.0</v>
      </c>
      <c r="W28" s="237"/>
      <c r="X28" s="4"/>
      <c r="Y28" s="232">
        <f t="shared" si="12"/>
        <v>282705</v>
      </c>
      <c r="Z28" s="238">
        <f t="shared" ref="Z28:AB28" si="13">U28+P28+K28</f>
        <v>204006</v>
      </c>
      <c r="AA28" s="238">
        <f t="shared" si="13"/>
        <v>78699</v>
      </c>
      <c r="AB28" s="239">
        <f t="shared" si="13"/>
        <v>0</v>
      </c>
    </row>
    <row r="29" ht="13.5" customHeight="1">
      <c r="B29" s="4"/>
      <c r="C29" s="224" t="s">
        <v>70</v>
      </c>
      <c r="D29" s="229">
        <f t="shared" si="5"/>
        <v>0.04413442204</v>
      </c>
      <c r="E29" s="229">
        <f t="shared" si="6"/>
        <v>0.04598973979</v>
      </c>
      <c r="F29" s="229">
        <f t="shared" si="7"/>
        <v>0.04339184037</v>
      </c>
      <c r="G29" s="230">
        <f t="shared" si="8"/>
        <v>0</v>
      </c>
      <c r="H29" s="4"/>
      <c r="I29" s="240" t="s">
        <v>70</v>
      </c>
      <c r="J29" s="232">
        <f t="shared" si="9"/>
        <v>85719</v>
      </c>
      <c r="K29" s="233">
        <v>55309.0</v>
      </c>
      <c r="L29" s="233">
        <v>30410.0</v>
      </c>
      <c r="M29" s="234"/>
      <c r="N29" s="176"/>
      <c r="O29" s="235">
        <f t="shared" si="10"/>
        <v>65701</v>
      </c>
      <c r="P29" s="236">
        <v>52865.0</v>
      </c>
      <c r="Q29" s="236">
        <v>12836.0</v>
      </c>
      <c r="R29" s="237"/>
      <c r="S29" s="176"/>
      <c r="T29" s="235">
        <f t="shared" si="11"/>
        <v>66041</v>
      </c>
      <c r="U29" s="236">
        <v>51720.0</v>
      </c>
      <c r="V29" s="236">
        <v>14321.0</v>
      </c>
      <c r="W29" s="237"/>
      <c r="X29" s="4"/>
      <c r="Y29" s="232">
        <f t="shared" si="12"/>
        <v>217461</v>
      </c>
      <c r="Z29" s="238">
        <f t="shared" ref="Z29:AB29" si="14">U29+P29+K29</f>
        <v>159894</v>
      </c>
      <c r="AA29" s="238">
        <f t="shared" si="14"/>
        <v>57567</v>
      </c>
      <c r="AB29" s="239">
        <f t="shared" si="14"/>
        <v>0</v>
      </c>
    </row>
    <row r="30" ht="13.5" customHeight="1">
      <c r="B30" s="4"/>
      <c r="C30" s="224" t="s">
        <v>71</v>
      </c>
      <c r="D30" s="229">
        <f t="shared" si="5"/>
        <v>0.08596491851</v>
      </c>
      <c r="E30" s="229">
        <f t="shared" si="6"/>
        <v>0.0973520536</v>
      </c>
      <c r="F30" s="229">
        <f t="shared" si="7"/>
        <v>0.06414744196</v>
      </c>
      <c r="G30" s="230">
        <f t="shared" si="8"/>
        <v>0</v>
      </c>
      <c r="H30" s="4"/>
      <c r="I30" s="240" t="s">
        <v>71</v>
      </c>
      <c r="J30" s="232">
        <f t="shared" si="9"/>
        <v>121529</v>
      </c>
      <c r="K30" s="233">
        <v>96935.0</v>
      </c>
      <c r="L30" s="233">
        <v>24594.0</v>
      </c>
      <c r="M30" s="234"/>
      <c r="N30" s="176"/>
      <c r="O30" s="235">
        <f t="shared" si="10"/>
        <v>149577</v>
      </c>
      <c r="P30" s="236">
        <v>121009.0</v>
      </c>
      <c r="Q30" s="236">
        <v>28568.0</v>
      </c>
      <c r="R30" s="237"/>
      <c r="S30" s="176"/>
      <c r="T30" s="235">
        <f t="shared" si="11"/>
        <v>152464</v>
      </c>
      <c r="U30" s="236">
        <v>120523.0</v>
      </c>
      <c r="V30" s="236">
        <v>31941.0</v>
      </c>
      <c r="W30" s="237"/>
      <c r="X30" s="4"/>
      <c r="Y30" s="232">
        <f t="shared" si="12"/>
        <v>423570</v>
      </c>
      <c r="Z30" s="238">
        <f t="shared" ref="Z30:AB30" si="15">U30+P30+K30</f>
        <v>338467</v>
      </c>
      <c r="AA30" s="238">
        <f t="shared" si="15"/>
        <v>85103</v>
      </c>
      <c r="AB30" s="239">
        <f t="shared" si="15"/>
        <v>0</v>
      </c>
    </row>
    <row r="31" ht="13.5" customHeight="1">
      <c r="B31" s="4"/>
      <c r="C31" s="224" t="s">
        <v>72</v>
      </c>
      <c r="D31" s="229">
        <f t="shared" si="5"/>
        <v>0.08837032072</v>
      </c>
      <c r="E31" s="229">
        <f t="shared" si="6"/>
        <v>0.08223325813</v>
      </c>
      <c r="F31" s="229">
        <f t="shared" si="7"/>
        <v>0.112701801</v>
      </c>
      <c r="G31" s="230">
        <f t="shared" si="8"/>
        <v>0</v>
      </c>
      <c r="H31" s="4"/>
      <c r="I31" s="240" t="s">
        <v>72</v>
      </c>
      <c r="J31" s="232">
        <f t="shared" si="9"/>
        <v>128636</v>
      </c>
      <c r="K31" s="233">
        <v>88749.0</v>
      </c>
      <c r="L31" s="233">
        <v>39887.0</v>
      </c>
      <c r="M31" s="234"/>
      <c r="N31" s="176"/>
      <c r="O31" s="235">
        <f t="shared" si="10"/>
        <v>94821</v>
      </c>
      <c r="P31" s="236">
        <v>40940.0</v>
      </c>
      <c r="Q31" s="236">
        <v>53881.0</v>
      </c>
      <c r="R31" s="237"/>
      <c r="S31" s="176"/>
      <c r="T31" s="235">
        <f t="shared" si="11"/>
        <v>211965</v>
      </c>
      <c r="U31" s="236">
        <v>156214.0</v>
      </c>
      <c r="V31" s="236">
        <v>55751.0</v>
      </c>
      <c r="W31" s="237"/>
      <c r="X31" s="4"/>
      <c r="Y31" s="232">
        <f t="shared" si="12"/>
        <v>435422</v>
      </c>
      <c r="Z31" s="238">
        <f t="shared" ref="Z31:AB31" si="16">U31+P31+K31</f>
        <v>285903</v>
      </c>
      <c r="AA31" s="238">
        <f t="shared" si="16"/>
        <v>149519</v>
      </c>
      <c r="AB31" s="239">
        <f t="shared" si="16"/>
        <v>0</v>
      </c>
    </row>
    <row r="32" ht="13.5" customHeight="1">
      <c r="B32" s="4"/>
      <c r="C32" s="224" t="s">
        <v>73</v>
      </c>
      <c r="D32" s="229">
        <f t="shared" si="5"/>
        <v>0.09641660625</v>
      </c>
      <c r="E32" s="229">
        <f t="shared" si="6"/>
        <v>0.05656691399</v>
      </c>
      <c r="F32" s="229">
        <f t="shared" si="7"/>
        <v>0.2098474536</v>
      </c>
      <c r="G32" s="230">
        <f t="shared" si="8"/>
        <v>0</v>
      </c>
      <c r="H32" s="4"/>
      <c r="I32" s="240" t="s">
        <v>73</v>
      </c>
      <c r="J32" s="232">
        <f t="shared" si="9"/>
        <v>70076</v>
      </c>
      <c r="K32" s="233">
        <v>29355.0</v>
      </c>
      <c r="L32" s="233">
        <v>40721.0</v>
      </c>
      <c r="M32" s="234"/>
      <c r="N32" s="176"/>
      <c r="O32" s="235">
        <f t="shared" si="10"/>
        <v>246117</v>
      </c>
      <c r="P32" s="236">
        <v>53006.0</v>
      </c>
      <c r="Q32" s="236">
        <v>193111.0</v>
      </c>
      <c r="R32" s="237"/>
      <c r="S32" s="176"/>
      <c r="T32" s="235">
        <f t="shared" si="11"/>
        <v>158875</v>
      </c>
      <c r="U32" s="236">
        <v>114307.0</v>
      </c>
      <c r="V32" s="236">
        <v>44568.0</v>
      </c>
      <c r="W32" s="237"/>
      <c r="X32" s="4"/>
      <c r="Y32" s="232">
        <f t="shared" si="12"/>
        <v>475068</v>
      </c>
      <c r="Z32" s="238">
        <f t="shared" ref="Z32:AB32" si="17">U32+P32+K32</f>
        <v>196668</v>
      </c>
      <c r="AA32" s="238">
        <f t="shared" si="17"/>
        <v>278400</v>
      </c>
      <c r="AB32" s="239">
        <f t="shared" si="17"/>
        <v>0</v>
      </c>
    </row>
    <row r="33" ht="13.5" customHeight="1">
      <c r="B33" s="4"/>
      <c r="C33" s="224" t="s">
        <v>75</v>
      </c>
      <c r="D33" s="229">
        <f t="shared" si="5"/>
        <v>0.1219564493</v>
      </c>
      <c r="E33" s="229">
        <f t="shared" si="6"/>
        <v>0.129454039</v>
      </c>
      <c r="F33" s="229">
        <f t="shared" si="7"/>
        <v>0.1136914911</v>
      </c>
      <c r="G33" s="230">
        <f t="shared" si="8"/>
        <v>0</v>
      </c>
      <c r="H33" s="4"/>
      <c r="I33" s="240" t="s">
        <v>75</v>
      </c>
      <c r="J33" s="232">
        <f t="shared" si="9"/>
        <v>141904</v>
      </c>
      <c r="K33" s="233">
        <v>96322.0</v>
      </c>
      <c r="L33" s="233">
        <v>45582.0</v>
      </c>
      <c r="M33" s="234"/>
      <c r="N33" s="176"/>
      <c r="O33" s="235">
        <f t="shared" si="10"/>
        <v>253845</v>
      </c>
      <c r="P33" s="236">
        <v>199484.0</v>
      </c>
      <c r="Q33" s="236">
        <v>54361.0</v>
      </c>
      <c r="R33" s="237"/>
      <c r="S33" s="176"/>
      <c r="T33" s="235">
        <f t="shared" si="11"/>
        <v>205160</v>
      </c>
      <c r="U33" s="236">
        <v>154271.0</v>
      </c>
      <c r="V33" s="236">
        <v>50889.0</v>
      </c>
      <c r="W33" s="237"/>
      <c r="X33" s="4"/>
      <c r="Y33" s="232">
        <f t="shared" si="12"/>
        <v>600909</v>
      </c>
      <c r="Z33" s="238">
        <f t="shared" ref="Z33:AB33" si="18">U33+P33+K33</f>
        <v>450077</v>
      </c>
      <c r="AA33" s="238">
        <f t="shared" si="18"/>
        <v>150832</v>
      </c>
      <c r="AB33" s="239">
        <f t="shared" si="18"/>
        <v>0</v>
      </c>
    </row>
    <row r="34" ht="13.5" customHeight="1">
      <c r="B34" s="4"/>
      <c r="C34" s="224" t="s">
        <v>76</v>
      </c>
      <c r="D34" s="229">
        <f t="shared" si="5"/>
        <v>0.1479519224</v>
      </c>
      <c r="E34" s="229">
        <f t="shared" si="6"/>
        <v>0.1772569758</v>
      </c>
      <c r="F34" s="229">
        <f t="shared" si="7"/>
        <v>0.0849640983</v>
      </c>
      <c r="G34" s="230">
        <f t="shared" si="8"/>
        <v>0</v>
      </c>
      <c r="H34" s="4"/>
      <c r="I34" s="240" t="s">
        <v>76</v>
      </c>
      <c r="J34" s="232">
        <f t="shared" si="9"/>
        <v>192721</v>
      </c>
      <c r="K34" s="233">
        <v>157605.0</v>
      </c>
      <c r="L34" s="233">
        <v>35116.0</v>
      </c>
      <c r="M34" s="234"/>
      <c r="N34" s="176"/>
      <c r="O34" s="235">
        <f t="shared" si="10"/>
        <v>240439</v>
      </c>
      <c r="P34" s="236">
        <v>193633.0</v>
      </c>
      <c r="Q34" s="236">
        <v>46806.0</v>
      </c>
      <c r="R34" s="237"/>
      <c r="S34" s="176"/>
      <c r="T34" s="235">
        <f t="shared" si="11"/>
        <v>295835</v>
      </c>
      <c r="U34" s="236">
        <v>265037.0</v>
      </c>
      <c r="V34" s="236">
        <v>30798.0</v>
      </c>
      <c r="W34" s="237"/>
      <c r="X34" s="4"/>
      <c r="Y34" s="232">
        <f t="shared" si="12"/>
        <v>728995</v>
      </c>
      <c r="Z34" s="238">
        <f t="shared" ref="Z34:AB34" si="19">U34+P34+K34</f>
        <v>616275</v>
      </c>
      <c r="AA34" s="238">
        <f t="shared" si="19"/>
        <v>112720</v>
      </c>
      <c r="AB34" s="239">
        <f t="shared" si="19"/>
        <v>0</v>
      </c>
    </row>
    <row r="35" ht="13.5" customHeight="1">
      <c r="B35" s="4"/>
      <c r="C35" s="224" t="s">
        <v>91</v>
      </c>
      <c r="D35" s="229">
        <f t="shared" si="5"/>
        <v>0.08681265434</v>
      </c>
      <c r="E35" s="229">
        <f t="shared" si="6"/>
        <v>0.09269940853</v>
      </c>
      <c r="F35" s="229">
        <f t="shared" si="7"/>
        <v>0.07948876819</v>
      </c>
      <c r="G35" s="230">
        <f t="shared" si="8"/>
        <v>0</v>
      </c>
      <c r="H35" s="4"/>
      <c r="I35" s="240" t="s">
        <v>91</v>
      </c>
      <c r="J35" s="232">
        <f t="shared" si="9"/>
        <v>139207</v>
      </c>
      <c r="K35" s="233">
        <v>102271.0</v>
      </c>
      <c r="L35" s="233">
        <v>36936.0</v>
      </c>
      <c r="M35" s="234"/>
      <c r="N35" s="176"/>
      <c r="O35" s="235">
        <f t="shared" si="10"/>
        <v>138416</v>
      </c>
      <c r="P35" s="236">
        <v>102562.0</v>
      </c>
      <c r="Q35" s="236">
        <v>35854.0</v>
      </c>
      <c r="R35" s="237"/>
      <c r="S35" s="176"/>
      <c r="T35" s="235">
        <f t="shared" si="11"/>
        <v>150124</v>
      </c>
      <c r="U35" s="236">
        <v>117458.0</v>
      </c>
      <c r="V35" s="236">
        <v>32666.0</v>
      </c>
      <c r="W35" s="237"/>
      <c r="X35" s="4"/>
      <c r="Y35" s="232">
        <f t="shared" si="12"/>
        <v>427747</v>
      </c>
      <c r="Z35" s="238">
        <f t="shared" ref="Z35:AB35" si="20">U35+P35+K35</f>
        <v>322291</v>
      </c>
      <c r="AA35" s="238">
        <f t="shared" si="20"/>
        <v>105456</v>
      </c>
      <c r="AB35" s="239">
        <f t="shared" si="20"/>
        <v>0</v>
      </c>
    </row>
    <row r="36" ht="12.75" customHeight="1">
      <c r="B36" s="4"/>
      <c r="C36" s="224" t="s">
        <v>92</v>
      </c>
      <c r="D36" s="229">
        <f t="shared" si="5"/>
        <v>0.07693065645</v>
      </c>
      <c r="E36" s="229">
        <f t="shared" si="6"/>
        <v>0.08895595059</v>
      </c>
      <c r="F36" s="229">
        <f t="shared" si="7"/>
        <v>0.05259754062</v>
      </c>
      <c r="G36" s="230">
        <f t="shared" si="8"/>
        <v>0</v>
      </c>
      <c r="H36" s="4"/>
      <c r="I36" s="240" t="s">
        <v>92</v>
      </c>
      <c r="J36" s="232">
        <f t="shared" si="9"/>
        <v>164977</v>
      </c>
      <c r="K36" s="233">
        <v>146272.0</v>
      </c>
      <c r="L36" s="233">
        <v>18705.0</v>
      </c>
      <c r="M36" s="234"/>
      <c r="N36" s="176"/>
      <c r="O36" s="235">
        <f t="shared" si="10"/>
        <v>136756</v>
      </c>
      <c r="P36" s="236">
        <v>101183.0</v>
      </c>
      <c r="Q36" s="236">
        <v>35573.0</v>
      </c>
      <c r="R36" s="237"/>
      <c r="S36" s="176"/>
      <c r="T36" s="235">
        <f t="shared" si="11"/>
        <v>77323</v>
      </c>
      <c r="U36" s="236">
        <v>61821.0</v>
      </c>
      <c r="V36" s="236">
        <v>15502.0</v>
      </c>
      <c r="W36" s="237"/>
      <c r="X36" s="4"/>
      <c r="Y36" s="232">
        <f t="shared" si="12"/>
        <v>379056</v>
      </c>
      <c r="Z36" s="238">
        <f t="shared" ref="Z36:AB36" si="21">U36+P36+K36</f>
        <v>309276</v>
      </c>
      <c r="AA36" s="238">
        <f t="shared" si="21"/>
        <v>69780</v>
      </c>
      <c r="AB36" s="239">
        <f t="shared" si="21"/>
        <v>0</v>
      </c>
    </row>
    <row r="37" ht="12.75" customHeight="1">
      <c r="B37" s="4"/>
      <c r="C37" s="224" t="s">
        <v>93</v>
      </c>
      <c r="D37" s="229">
        <f t="shared" si="5"/>
        <v>0.06949257115</v>
      </c>
      <c r="E37" s="229">
        <f t="shared" si="6"/>
        <v>0.05786180816</v>
      </c>
      <c r="F37" s="229">
        <f t="shared" si="7"/>
        <v>0.06546275735</v>
      </c>
      <c r="G37" s="241">
        <v>0.0</v>
      </c>
      <c r="H37" s="4"/>
      <c r="I37" s="240" t="s">
        <v>93</v>
      </c>
      <c r="J37" s="232">
        <f t="shared" si="9"/>
        <v>107712</v>
      </c>
      <c r="K37" s="233">
        <v>66072.0</v>
      </c>
      <c r="L37" s="233">
        <v>41640.0</v>
      </c>
      <c r="M37" s="234"/>
      <c r="N37" s="176"/>
      <c r="O37" s="235">
        <f t="shared" si="10"/>
        <v>89452</v>
      </c>
      <c r="P37" s="236">
        <v>59157.0</v>
      </c>
      <c r="Q37" s="236">
        <v>30295.0</v>
      </c>
      <c r="R37" s="237"/>
      <c r="S37" s="176"/>
      <c r="T37" s="235">
        <f t="shared" si="11"/>
        <v>145242.75</v>
      </c>
      <c r="U37" s="242">
        <v>75941.0</v>
      </c>
      <c r="V37" s="242">
        <v>14913.0</v>
      </c>
      <c r="W37" s="243">
        <v>54388.75</v>
      </c>
      <c r="X37" s="4"/>
      <c r="Y37" s="232">
        <f t="shared" si="12"/>
        <v>342406.75</v>
      </c>
      <c r="Z37" s="238">
        <f t="shared" ref="Z37:AB37" si="22">U37+P37+K37</f>
        <v>201170</v>
      </c>
      <c r="AA37" s="238">
        <f t="shared" si="22"/>
        <v>86848</v>
      </c>
      <c r="AB37" s="239">
        <f t="shared" si="22"/>
        <v>54388.75</v>
      </c>
    </row>
    <row r="38" ht="12.75" customHeight="1">
      <c r="B38" s="4"/>
      <c r="C38" s="224" t="s">
        <v>94</v>
      </c>
      <c r="D38" s="229">
        <f t="shared" si="5"/>
        <v>0.06276933802</v>
      </c>
      <c r="E38" s="229">
        <f t="shared" si="6"/>
        <v>0.04964978606</v>
      </c>
      <c r="F38" s="229">
        <f t="shared" si="7"/>
        <v>0.05066564758</v>
      </c>
      <c r="G38" s="241">
        <v>0.0</v>
      </c>
      <c r="H38" s="4"/>
      <c r="I38" s="244" t="s">
        <v>94</v>
      </c>
      <c r="J38" s="232">
        <f t="shared" si="9"/>
        <v>40000</v>
      </c>
      <c r="K38" s="245">
        <v>20000.0</v>
      </c>
      <c r="L38" s="245">
        <v>20000.0</v>
      </c>
      <c r="M38" s="246"/>
      <c r="N38" s="176"/>
      <c r="O38" s="235">
        <f t="shared" si="10"/>
        <v>99836</v>
      </c>
      <c r="P38" s="236">
        <v>67619.0</v>
      </c>
      <c r="Q38" s="236">
        <v>32217.0</v>
      </c>
      <c r="R38" s="247"/>
      <c r="S38" s="176"/>
      <c r="T38" s="235">
        <f t="shared" si="11"/>
        <v>169443.75</v>
      </c>
      <c r="U38" s="242">
        <v>85000.0</v>
      </c>
      <c r="V38" s="242">
        <v>15000.0</v>
      </c>
      <c r="W38" s="243">
        <v>69443.75</v>
      </c>
      <c r="X38" s="4"/>
      <c r="Y38" s="232">
        <f t="shared" si="12"/>
        <v>309279.75</v>
      </c>
      <c r="Z38" s="238">
        <f t="shared" ref="Z38:AB38" si="23">U38+P38+K38</f>
        <v>172619</v>
      </c>
      <c r="AA38" s="238">
        <f t="shared" si="23"/>
        <v>67217</v>
      </c>
      <c r="AB38" s="239">
        <f t="shared" si="23"/>
        <v>69443.75</v>
      </c>
    </row>
    <row r="39" ht="15.75" customHeight="1">
      <c r="B39" s="4"/>
      <c r="C39" s="248"/>
      <c r="D39" s="249">
        <f t="shared" ref="D39:G39" si="24">SUM(D27:D38)</f>
        <v>1</v>
      </c>
      <c r="E39" s="250">
        <f t="shared" si="24"/>
        <v>1</v>
      </c>
      <c r="F39" s="250">
        <f t="shared" si="24"/>
        <v>1</v>
      </c>
      <c r="G39" s="251">
        <f t="shared" si="24"/>
        <v>0</v>
      </c>
      <c r="H39" s="4"/>
      <c r="I39" s="223"/>
      <c r="J39" s="252">
        <f t="shared" si="9"/>
        <v>1388572</v>
      </c>
      <c r="K39" s="253">
        <f t="shared" ref="K39:M39" si="25">SUM(K27:K38)</f>
        <v>993107</v>
      </c>
      <c r="L39" s="253">
        <f t="shared" si="25"/>
        <v>395465</v>
      </c>
      <c r="M39" s="254">
        <f t="shared" si="25"/>
        <v>0</v>
      </c>
      <c r="N39" s="255"/>
      <c r="O39" s="256">
        <f t="shared" si="10"/>
        <v>1722858</v>
      </c>
      <c r="P39" s="257">
        <f t="shared" ref="P39:R39" si="26">SUM(P27:P38)</f>
        <v>1150061</v>
      </c>
      <c r="Q39" s="257">
        <f t="shared" si="26"/>
        <v>572797</v>
      </c>
      <c r="R39" s="254">
        <f t="shared" si="26"/>
        <v>0</v>
      </c>
      <c r="S39" s="255"/>
      <c r="T39" s="258">
        <f t="shared" si="11"/>
        <v>1815812.5</v>
      </c>
      <c r="U39" s="257">
        <f t="shared" ref="U39:W39" si="27">SUM(U27:U38)</f>
        <v>1333564</v>
      </c>
      <c r="V39" s="257">
        <f t="shared" si="27"/>
        <v>358416</v>
      </c>
      <c r="W39" s="254">
        <f t="shared" si="27"/>
        <v>123832.5</v>
      </c>
      <c r="X39" s="259"/>
      <c r="Y39" s="260">
        <f t="shared" ref="Y39:AB39" si="28">SUM(Y27:Y38)</f>
        <v>4927242.5</v>
      </c>
      <c r="Z39" s="260">
        <f t="shared" si="28"/>
        <v>3476732</v>
      </c>
      <c r="AA39" s="260">
        <f t="shared" si="28"/>
        <v>1326678</v>
      </c>
      <c r="AB39" s="261">
        <f t="shared" si="28"/>
        <v>123832.5</v>
      </c>
    </row>
    <row r="40" ht="12.75" customHeight="1">
      <c r="B40" s="4"/>
      <c r="C40" s="262" t="s">
        <v>95</v>
      </c>
      <c r="D40" s="263"/>
      <c r="E40" s="264">
        <f>Z39/Y39</f>
        <v>0.7056141442</v>
      </c>
      <c r="F40" s="264">
        <f>AA39/Y39</f>
        <v>0.2692536444</v>
      </c>
      <c r="G40" s="265">
        <f>AB39/Y39</f>
        <v>0.02513221137</v>
      </c>
      <c r="H40" s="4"/>
      <c r="J40" s="36"/>
    </row>
    <row r="41" ht="12.75" customHeight="1">
      <c r="C41" s="266" t="s">
        <v>96</v>
      </c>
      <c r="D41" s="267"/>
      <c r="E41" s="268">
        <f>E40*D20</f>
        <v>1548660.449</v>
      </c>
      <c r="F41" s="268">
        <f>F40*D20</f>
        <v>590949.7041</v>
      </c>
      <c r="G41" s="269">
        <f>G40*D20</f>
        <v>55159.41263</v>
      </c>
      <c r="H41" s="270"/>
      <c r="J41" s="36"/>
    </row>
    <row r="42" ht="12.75" customHeight="1">
      <c r="B42" s="4"/>
    </row>
    <row r="43" ht="21.0" customHeight="1">
      <c r="B43" s="4"/>
    </row>
    <row r="44" ht="12.75" customHeight="1">
      <c r="B44" s="4"/>
    </row>
    <row r="45" ht="12.75" customHeight="1">
      <c r="B45" s="4"/>
    </row>
    <row r="46" ht="12.75" customHeight="1">
      <c r="B46" s="4"/>
    </row>
    <row r="47" ht="12.75" customHeight="1">
      <c r="B47" s="4"/>
    </row>
    <row r="48" ht="12.75" customHeight="1">
      <c r="B48" s="4"/>
    </row>
    <row r="49" ht="12.75" customHeight="1">
      <c r="B49" s="4"/>
    </row>
    <row r="50" ht="12.75" customHeight="1">
      <c r="B50" s="4"/>
    </row>
    <row r="51" ht="12.75" customHeight="1">
      <c r="B51" s="4"/>
    </row>
    <row r="52" ht="12.75" customHeight="1">
      <c r="B52" s="4"/>
    </row>
    <row r="53" ht="12.75" customHeight="1">
      <c r="B53" s="4"/>
    </row>
    <row r="54" ht="12.75" customHeight="1">
      <c r="B54" s="4"/>
    </row>
    <row r="55" ht="12.75" customHeight="1">
      <c r="B55" s="4"/>
    </row>
    <row r="56" ht="12.75" customHeight="1">
      <c r="B56" s="4"/>
    </row>
    <row r="57" ht="12.75" customHeight="1">
      <c r="B57" s="4"/>
    </row>
    <row r="58" ht="12.75" customHeight="1">
      <c r="B58" s="4"/>
      <c r="D58" s="4"/>
      <c r="E58" s="4"/>
      <c r="F58" s="4"/>
      <c r="G58" s="4"/>
      <c r="H58" s="4"/>
      <c r="J58" s="176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ht="12.75" customHeight="1">
      <c r="B59" s="4"/>
      <c r="D59" s="4"/>
      <c r="E59" s="4"/>
      <c r="F59" s="4"/>
      <c r="G59" s="4"/>
      <c r="H59" s="4"/>
      <c r="J59" s="176"/>
      <c r="K59" s="4"/>
      <c r="L59" s="4"/>
      <c r="M59" s="4"/>
      <c r="N59" s="4"/>
      <c r="O59" s="4"/>
      <c r="R59" s="4"/>
      <c r="S59" s="4"/>
      <c r="T59" s="4"/>
      <c r="U59" s="4"/>
      <c r="V59" s="4"/>
    </row>
    <row r="60" ht="12.75" customHeight="1">
      <c r="B60" s="4"/>
      <c r="D60" s="4"/>
      <c r="E60" s="4"/>
      <c r="F60" s="4"/>
      <c r="G60" s="4"/>
      <c r="H60" s="4"/>
      <c r="J60" s="176"/>
      <c r="K60" s="4"/>
      <c r="L60" s="4"/>
      <c r="M60" s="4"/>
      <c r="N60" s="4"/>
      <c r="O60" s="4"/>
      <c r="R60" s="4"/>
      <c r="S60" s="4"/>
      <c r="T60" s="4"/>
      <c r="U60" s="4"/>
      <c r="V60" s="4"/>
    </row>
    <row r="61" ht="12.75" customHeight="1">
      <c r="J61" s="36"/>
    </row>
    <row r="62" ht="12.75" customHeight="1">
      <c r="J62" s="36"/>
    </row>
    <row r="63" ht="12.75" customHeight="1">
      <c r="J63" s="36"/>
    </row>
    <row r="64" ht="12.75" customHeight="1">
      <c r="J64" s="36"/>
    </row>
    <row r="65" ht="12.75" customHeight="1">
      <c r="J65" s="36"/>
    </row>
    <row r="66" ht="12.75" customHeight="1">
      <c r="J66" s="36"/>
    </row>
    <row r="67" ht="12.75" customHeight="1">
      <c r="J67" s="36"/>
    </row>
    <row r="68" ht="12.75" customHeight="1">
      <c r="J68" s="36"/>
    </row>
    <row r="69" ht="12.75" customHeight="1">
      <c r="J69" s="36"/>
    </row>
    <row r="70" ht="12.75" customHeight="1">
      <c r="J70" s="36"/>
    </row>
    <row r="71" ht="12.75" customHeight="1">
      <c r="J71" s="36"/>
    </row>
    <row r="72" ht="12.75" customHeight="1">
      <c r="J72" s="36"/>
    </row>
    <row r="73" ht="12.75" customHeight="1">
      <c r="J73" s="36"/>
    </row>
    <row r="74" ht="12.75" customHeight="1">
      <c r="J74" s="36"/>
    </row>
    <row r="75" ht="12.75" customHeight="1">
      <c r="J75" s="36"/>
    </row>
    <row r="76" ht="12.75" customHeight="1">
      <c r="J76" s="36"/>
    </row>
    <row r="77" ht="12.75" customHeight="1">
      <c r="J77" s="36"/>
    </row>
    <row r="78" ht="12.75" customHeight="1">
      <c r="J78" s="36"/>
    </row>
    <row r="79" ht="12.75" customHeight="1">
      <c r="J79" s="36"/>
    </row>
    <row r="80" ht="12.75" customHeight="1">
      <c r="J80" s="36"/>
    </row>
    <row r="81" ht="12.75" customHeight="1">
      <c r="J81" s="36"/>
    </row>
    <row r="82" ht="12.75" customHeight="1">
      <c r="J82" s="36"/>
    </row>
    <row r="83" ht="12.75" customHeight="1">
      <c r="J83" s="36"/>
    </row>
    <row r="84" ht="12.75" customHeight="1">
      <c r="J84" s="36"/>
    </row>
    <row r="85" ht="12.75" customHeight="1">
      <c r="J85" s="36"/>
    </row>
    <row r="86" ht="12.75" customHeight="1">
      <c r="J86" s="36"/>
    </row>
    <row r="87" ht="12.75" customHeight="1">
      <c r="J87" s="36"/>
    </row>
    <row r="88" ht="12.75" customHeight="1">
      <c r="J88" s="36"/>
    </row>
    <row r="89" ht="12.75" customHeight="1">
      <c r="J89" s="36"/>
    </row>
    <row r="90" ht="12.75" customHeight="1">
      <c r="J90" s="36"/>
    </row>
    <row r="91" ht="12.75" customHeight="1">
      <c r="J91" s="36"/>
    </row>
    <row r="92" ht="12.75" customHeight="1">
      <c r="J92" s="36"/>
    </row>
    <row r="93" ht="12.75" customHeight="1">
      <c r="J93" s="36"/>
    </row>
    <row r="94" ht="12.75" customHeight="1">
      <c r="J94" s="36"/>
    </row>
    <row r="95" ht="12.75" customHeight="1">
      <c r="J95" s="36"/>
    </row>
    <row r="96" ht="12.75" customHeight="1">
      <c r="J96" s="36"/>
    </row>
    <row r="97" ht="12.75" customHeight="1">
      <c r="J97" s="36"/>
    </row>
    <row r="98" ht="12.75" customHeight="1">
      <c r="J98" s="36"/>
    </row>
    <row r="99" ht="12.75" customHeight="1">
      <c r="J99" s="36"/>
    </row>
    <row r="100" ht="12.75" customHeight="1">
      <c r="J100" s="36"/>
    </row>
    <row r="101" ht="12.75" customHeight="1">
      <c r="J101" s="36"/>
    </row>
    <row r="102" ht="12.75" customHeight="1">
      <c r="J102" s="36"/>
    </row>
    <row r="103" ht="12.75" customHeight="1">
      <c r="J103" s="36"/>
    </row>
    <row r="104" ht="12.75" customHeight="1">
      <c r="J104" s="36"/>
    </row>
    <row r="105" ht="12.75" customHeight="1">
      <c r="J105" s="36"/>
    </row>
    <row r="106" ht="12.75" customHeight="1">
      <c r="J106" s="36"/>
    </row>
    <row r="107" ht="12.75" customHeight="1">
      <c r="J107" s="36"/>
    </row>
    <row r="108" ht="12.75" customHeight="1">
      <c r="J108" s="36"/>
    </row>
    <row r="109" ht="12.75" customHeight="1">
      <c r="J109" s="36"/>
    </row>
    <row r="110" ht="12.75" customHeight="1">
      <c r="J110" s="36"/>
    </row>
    <row r="111" ht="12.75" customHeight="1">
      <c r="J111" s="36"/>
    </row>
    <row r="112" ht="12.75" customHeight="1">
      <c r="J112" s="36"/>
    </row>
    <row r="113" ht="12.75" customHeight="1">
      <c r="J113" s="36"/>
    </row>
    <row r="114" ht="12.75" customHeight="1">
      <c r="J114" s="36"/>
    </row>
    <row r="115" ht="12.75" customHeight="1">
      <c r="J115" s="36"/>
    </row>
    <row r="116" ht="12.75" customHeight="1">
      <c r="J116" s="36"/>
    </row>
    <row r="117" ht="12.75" customHeight="1">
      <c r="J117" s="36"/>
    </row>
    <row r="118" ht="12.75" customHeight="1">
      <c r="J118" s="36"/>
    </row>
    <row r="119" ht="12.75" customHeight="1">
      <c r="J119" s="36"/>
    </row>
    <row r="120" ht="12.75" customHeight="1">
      <c r="J120" s="36"/>
    </row>
    <row r="121" ht="12.75" customHeight="1">
      <c r="J121" s="36"/>
    </row>
    <row r="122" ht="12.75" customHeight="1">
      <c r="J122" s="36"/>
    </row>
    <row r="123" ht="12.75" customHeight="1">
      <c r="J123" s="36"/>
    </row>
    <row r="124" ht="12.75" customHeight="1">
      <c r="J124" s="36"/>
    </row>
    <row r="125" ht="12.75" customHeight="1">
      <c r="J125" s="36"/>
    </row>
    <row r="126" ht="12.75" customHeight="1">
      <c r="J126" s="36"/>
    </row>
    <row r="127" ht="12.75" customHeight="1">
      <c r="J127" s="36"/>
    </row>
    <row r="128" ht="12.75" customHeight="1">
      <c r="J128" s="36"/>
    </row>
    <row r="129" ht="12.75" customHeight="1">
      <c r="J129" s="36"/>
    </row>
    <row r="130" ht="12.75" customHeight="1">
      <c r="J130" s="36"/>
    </row>
    <row r="131" ht="12.75" customHeight="1">
      <c r="J131" s="36"/>
    </row>
    <row r="132" ht="12.75" customHeight="1">
      <c r="J132" s="36"/>
    </row>
    <row r="133" ht="12.75" customHeight="1">
      <c r="J133" s="36"/>
    </row>
    <row r="134" ht="12.75" customHeight="1">
      <c r="J134" s="36"/>
    </row>
    <row r="135" ht="12.75" customHeight="1">
      <c r="J135" s="36"/>
    </row>
    <row r="136" ht="12.75" customHeight="1">
      <c r="J136" s="36"/>
    </row>
    <row r="137" ht="12.75" customHeight="1">
      <c r="J137" s="36"/>
    </row>
    <row r="138" ht="12.75" customHeight="1">
      <c r="J138" s="36"/>
    </row>
    <row r="139" ht="12.75" customHeight="1">
      <c r="J139" s="36"/>
    </row>
    <row r="140" ht="12.75" customHeight="1">
      <c r="J140" s="36"/>
    </row>
    <row r="141" ht="12.75" customHeight="1">
      <c r="J141" s="36"/>
    </row>
    <row r="142" ht="12.75" customHeight="1">
      <c r="J142" s="36"/>
    </row>
    <row r="143" ht="12.75" customHeight="1">
      <c r="J143" s="36"/>
    </row>
    <row r="144" ht="12.75" customHeight="1">
      <c r="J144" s="36"/>
    </row>
    <row r="145" ht="12.75" customHeight="1">
      <c r="J145" s="36"/>
    </row>
    <row r="146" ht="12.75" customHeight="1">
      <c r="J146" s="36"/>
    </row>
    <row r="147" ht="12.75" customHeight="1">
      <c r="J147" s="36"/>
    </row>
    <row r="148" ht="12.75" customHeight="1">
      <c r="J148" s="36"/>
    </row>
    <row r="149" ht="12.75" customHeight="1">
      <c r="J149" s="36"/>
    </row>
    <row r="150" ht="12.75" customHeight="1">
      <c r="J150" s="36"/>
    </row>
    <row r="151" ht="12.75" customHeight="1">
      <c r="J151" s="36"/>
    </row>
    <row r="152" ht="12.75" customHeight="1">
      <c r="J152" s="36"/>
    </row>
    <row r="153" ht="12.75" customHeight="1">
      <c r="J153" s="36"/>
    </row>
    <row r="154" ht="12.75" customHeight="1">
      <c r="J154" s="36"/>
    </row>
    <row r="155" ht="12.75" customHeight="1">
      <c r="J155" s="36"/>
    </row>
    <row r="156" ht="12.75" customHeight="1">
      <c r="J156" s="36"/>
    </row>
    <row r="157" ht="12.75" customHeight="1">
      <c r="J157" s="36"/>
    </row>
    <row r="158" ht="12.75" customHeight="1">
      <c r="J158" s="36"/>
    </row>
    <row r="159" ht="12.75" customHeight="1">
      <c r="J159" s="36"/>
    </row>
    <row r="160" ht="12.75" customHeight="1">
      <c r="J160" s="36"/>
    </row>
    <row r="161" ht="12.75" customHeight="1">
      <c r="J161" s="36"/>
    </row>
    <row r="162" ht="12.75" customHeight="1">
      <c r="J162" s="36"/>
    </row>
    <row r="163" ht="12.75" customHeight="1">
      <c r="J163" s="36"/>
    </row>
    <row r="164" ht="12.75" customHeight="1">
      <c r="J164" s="36"/>
    </row>
    <row r="165" ht="12.75" customHeight="1">
      <c r="J165" s="36"/>
    </row>
    <row r="166" ht="12.75" customHeight="1">
      <c r="J166" s="36"/>
    </row>
    <row r="167" ht="12.75" customHeight="1">
      <c r="J167" s="36"/>
    </row>
    <row r="168" ht="12.75" customHeight="1">
      <c r="J168" s="36"/>
    </row>
    <row r="169" ht="12.75" customHeight="1">
      <c r="J169" s="36"/>
    </row>
    <row r="170" ht="12.75" customHeight="1">
      <c r="J170" s="36"/>
    </row>
    <row r="171" ht="12.75" customHeight="1">
      <c r="J171" s="36"/>
    </row>
    <row r="172" ht="12.75" customHeight="1">
      <c r="J172" s="36"/>
    </row>
    <row r="173" ht="12.75" customHeight="1">
      <c r="J173" s="36"/>
    </row>
    <row r="174" ht="12.75" customHeight="1">
      <c r="J174" s="36"/>
    </row>
    <row r="175" ht="12.75" customHeight="1">
      <c r="J175" s="36"/>
    </row>
    <row r="176" ht="12.75" customHeight="1">
      <c r="J176" s="36"/>
    </row>
    <row r="177" ht="12.75" customHeight="1">
      <c r="J177" s="36"/>
    </row>
    <row r="178" ht="12.75" customHeight="1">
      <c r="J178" s="36"/>
    </row>
    <row r="179" ht="12.75" customHeight="1">
      <c r="J179" s="36"/>
    </row>
    <row r="180" ht="12.75" customHeight="1">
      <c r="J180" s="36"/>
    </row>
    <row r="181" ht="12.75" customHeight="1">
      <c r="J181" s="36"/>
    </row>
    <row r="182" ht="12.75" customHeight="1">
      <c r="J182" s="36"/>
    </row>
    <row r="183" ht="12.75" customHeight="1">
      <c r="J183" s="36"/>
    </row>
    <row r="184" ht="12.75" customHeight="1">
      <c r="J184" s="36"/>
    </row>
    <row r="185" ht="12.75" customHeight="1">
      <c r="J185" s="36"/>
    </row>
    <row r="186" ht="12.75" customHeight="1">
      <c r="J186" s="36"/>
    </row>
    <row r="187" ht="12.75" customHeight="1">
      <c r="J187" s="36"/>
    </row>
    <row r="188" ht="12.75" customHeight="1">
      <c r="J188" s="36"/>
    </row>
    <row r="189" ht="12.75" customHeight="1">
      <c r="J189" s="36"/>
    </row>
    <row r="190" ht="12.75" customHeight="1">
      <c r="J190" s="36"/>
    </row>
    <row r="191" ht="12.75" customHeight="1">
      <c r="J191" s="36"/>
    </row>
    <row r="192" ht="12.75" customHeight="1">
      <c r="J192" s="36"/>
    </row>
    <row r="193" ht="12.75" customHeight="1">
      <c r="J193" s="36"/>
    </row>
    <row r="194" ht="12.75" customHeight="1">
      <c r="J194" s="36"/>
    </row>
    <row r="195" ht="12.75" customHeight="1">
      <c r="J195" s="36"/>
    </row>
    <row r="196" ht="12.75" customHeight="1">
      <c r="J196" s="36"/>
    </row>
    <row r="197" ht="12.75" customHeight="1">
      <c r="J197" s="36"/>
    </row>
    <row r="198" ht="12.75" customHeight="1">
      <c r="J198" s="36"/>
    </row>
    <row r="199" ht="12.75" customHeight="1">
      <c r="J199" s="36"/>
    </row>
    <row r="200" ht="12.75" customHeight="1">
      <c r="J200" s="36"/>
    </row>
    <row r="201" ht="12.75" customHeight="1">
      <c r="J201" s="36"/>
    </row>
    <row r="202" ht="12.75" customHeight="1">
      <c r="J202" s="36"/>
    </row>
    <row r="203" ht="12.75" customHeight="1">
      <c r="J203" s="36"/>
    </row>
    <row r="204" ht="12.75" customHeight="1">
      <c r="J204" s="36"/>
    </row>
    <row r="205" ht="12.75" customHeight="1">
      <c r="J205" s="36"/>
    </row>
    <row r="206" ht="12.75" customHeight="1">
      <c r="J206" s="36"/>
    </row>
    <row r="207" ht="12.75" customHeight="1">
      <c r="J207" s="36"/>
    </row>
    <row r="208" ht="12.75" customHeight="1">
      <c r="J208" s="36"/>
    </row>
    <row r="209" ht="12.75" customHeight="1">
      <c r="J209" s="36"/>
    </row>
    <row r="210" ht="12.75" customHeight="1">
      <c r="J210" s="36"/>
    </row>
    <row r="211" ht="12.75" customHeight="1">
      <c r="J211" s="36"/>
    </row>
    <row r="212" ht="12.75" customHeight="1">
      <c r="J212" s="36"/>
    </row>
    <row r="213" ht="12.75" customHeight="1">
      <c r="J213" s="36"/>
    </row>
    <row r="214" ht="12.75" customHeight="1">
      <c r="J214" s="36"/>
    </row>
    <row r="215" ht="12.75" customHeight="1">
      <c r="J215" s="36"/>
    </row>
    <row r="216" ht="12.75" customHeight="1">
      <c r="J216" s="36"/>
    </row>
    <row r="217" ht="12.75" customHeight="1">
      <c r="J217" s="36"/>
    </row>
    <row r="218" ht="12.75" customHeight="1">
      <c r="J218" s="36"/>
    </row>
    <row r="219" ht="12.75" customHeight="1">
      <c r="J219" s="36"/>
    </row>
    <row r="220" ht="12.75" customHeight="1">
      <c r="J220" s="36"/>
    </row>
    <row r="221" ht="12.75" customHeight="1">
      <c r="J221" s="36"/>
    </row>
    <row r="222" ht="12.75" customHeight="1">
      <c r="J222" s="36"/>
    </row>
    <row r="223" ht="12.75" customHeight="1">
      <c r="J223" s="36"/>
    </row>
    <row r="224" ht="12.75" customHeight="1">
      <c r="J224" s="36"/>
    </row>
    <row r="225" ht="12.75" customHeight="1">
      <c r="J225" s="36"/>
    </row>
    <row r="226" ht="12.75" customHeight="1">
      <c r="J226" s="36"/>
    </row>
    <row r="227" ht="12.75" customHeight="1">
      <c r="J227" s="36"/>
    </row>
    <row r="228" ht="12.75" customHeight="1">
      <c r="J228" s="36"/>
    </row>
    <row r="229" ht="12.75" customHeight="1">
      <c r="J229" s="36"/>
    </row>
    <row r="230" ht="12.75" customHeight="1">
      <c r="J230" s="36"/>
    </row>
    <row r="231" ht="12.75" customHeight="1">
      <c r="J231" s="36"/>
    </row>
    <row r="232" ht="12.75" customHeight="1">
      <c r="J232" s="36"/>
    </row>
    <row r="233" ht="12.75" customHeight="1">
      <c r="J233" s="36"/>
    </row>
    <row r="234" ht="12.75" customHeight="1">
      <c r="J234" s="36"/>
    </row>
    <row r="235" ht="12.75" customHeight="1">
      <c r="J235" s="36"/>
    </row>
    <row r="236" ht="12.75" customHeight="1">
      <c r="J236" s="36"/>
    </row>
    <row r="237" ht="12.75" customHeight="1">
      <c r="J237" s="36"/>
    </row>
    <row r="238" ht="12.75" customHeight="1">
      <c r="J238" s="36"/>
    </row>
    <row r="239" ht="12.75" customHeight="1">
      <c r="J239" s="36"/>
    </row>
    <row r="240" ht="12.75" customHeight="1">
      <c r="J240" s="36"/>
    </row>
    <row r="241" ht="12.75" customHeight="1">
      <c r="J241" s="36"/>
    </row>
    <row r="242" ht="12.75" customHeight="1">
      <c r="J242" s="36"/>
    </row>
    <row r="243" ht="12.75" customHeight="1">
      <c r="J243" s="36"/>
    </row>
    <row r="244" ht="12.75" customHeight="1">
      <c r="J244" s="36"/>
    </row>
    <row r="245" ht="12.75" customHeight="1">
      <c r="J245" s="36"/>
    </row>
    <row r="246" ht="12.75" customHeight="1">
      <c r="J246" s="36"/>
    </row>
    <row r="247" ht="12.75" customHeight="1">
      <c r="J247" s="36"/>
    </row>
    <row r="248" ht="12.75" customHeight="1">
      <c r="J248" s="36"/>
    </row>
    <row r="249" ht="12.75" customHeight="1">
      <c r="J249" s="36"/>
    </row>
    <row r="250" ht="12.75" customHeight="1">
      <c r="J250" s="36"/>
    </row>
    <row r="251" ht="12.75" customHeight="1">
      <c r="J251" s="36"/>
    </row>
    <row r="252" ht="12.75" customHeight="1">
      <c r="J252" s="36"/>
    </row>
    <row r="253" ht="12.75" customHeight="1">
      <c r="J253" s="36"/>
    </row>
    <row r="254" ht="12.75" customHeight="1">
      <c r="J254" s="36"/>
    </row>
    <row r="255" ht="12.75" customHeight="1">
      <c r="J255" s="36"/>
    </row>
    <row r="256" ht="12.75" customHeight="1">
      <c r="J256" s="36"/>
    </row>
    <row r="257" ht="12.75" customHeight="1">
      <c r="J257" s="36"/>
    </row>
    <row r="258" ht="12.75" customHeight="1">
      <c r="J258" s="36"/>
    </row>
    <row r="259" ht="12.75" customHeight="1">
      <c r="J259" s="36"/>
    </row>
    <row r="260" ht="12.75" customHeight="1">
      <c r="J260" s="36"/>
    </row>
    <row r="261" ht="12.75" customHeight="1">
      <c r="J261" s="36"/>
    </row>
    <row r="262" ht="12.75" customHeight="1">
      <c r="J262" s="36"/>
    </row>
    <row r="263" ht="12.75" customHeight="1">
      <c r="J263" s="36"/>
    </row>
    <row r="264" ht="12.75" customHeight="1">
      <c r="J264" s="36"/>
    </row>
    <row r="265" ht="12.75" customHeight="1">
      <c r="J265" s="36"/>
    </row>
    <row r="266" ht="12.75" customHeight="1">
      <c r="J266" s="36"/>
    </row>
    <row r="267" ht="12.75" customHeight="1">
      <c r="J267" s="36"/>
    </row>
    <row r="268" ht="12.75" customHeight="1">
      <c r="J268" s="36"/>
    </row>
    <row r="269" ht="12.75" customHeight="1">
      <c r="J269" s="36"/>
    </row>
    <row r="270" ht="12.75" customHeight="1">
      <c r="J270" s="36"/>
    </row>
    <row r="271" ht="12.75" customHeight="1">
      <c r="J271" s="36"/>
    </row>
    <row r="272" ht="12.75" customHeight="1">
      <c r="J272" s="36"/>
    </row>
    <row r="273" ht="12.75" customHeight="1">
      <c r="J273" s="36"/>
    </row>
    <row r="274" ht="12.75" customHeight="1">
      <c r="J274" s="36"/>
    </row>
    <row r="275" ht="12.75" customHeight="1">
      <c r="J275" s="36"/>
    </row>
    <row r="276" ht="12.75" customHeight="1">
      <c r="J276" s="36"/>
    </row>
    <row r="277" ht="12.75" customHeight="1">
      <c r="J277" s="36"/>
    </row>
    <row r="278" ht="12.75" customHeight="1">
      <c r="J278" s="36"/>
    </row>
    <row r="279" ht="12.75" customHeight="1">
      <c r="J279" s="36"/>
    </row>
    <row r="280" ht="12.75" customHeight="1">
      <c r="J280" s="36"/>
    </row>
    <row r="281" ht="12.75" customHeight="1">
      <c r="J281" s="36"/>
    </row>
    <row r="282" ht="12.75" customHeight="1">
      <c r="J282" s="36"/>
    </row>
    <row r="283" ht="12.75" customHeight="1">
      <c r="J283" s="36"/>
    </row>
    <row r="284" ht="12.75" customHeight="1">
      <c r="J284" s="36"/>
    </row>
    <row r="285" ht="12.75" customHeight="1">
      <c r="J285" s="36"/>
    </row>
    <row r="286" ht="12.75" customHeight="1">
      <c r="J286" s="36"/>
    </row>
    <row r="287" ht="12.75" customHeight="1">
      <c r="J287" s="36"/>
    </row>
    <row r="288" ht="12.75" customHeight="1">
      <c r="J288" s="36"/>
    </row>
    <row r="289" ht="12.75" customHeight="1">
      <c r="J289" s="36"/>
    </row>
    <row r="290" ht="12.75" customHeight="1">
      <c r="J290" s="36"/>
    </row>
    <row r="291" ht="12.75" customHeight="1">
      <c r="J291" s="36"/>
    </row>
    <row r="292" ht="12.75" customHeight="1">
      <c r="J292" s="36"/>
    </row>
    <row r="293" ht="12.75" customHeight="1">
      <c r="J293" s="36"/>
    </row>
    <row r="294" ht="12.75" customHeight="1">
      <c r="J294" s="36"/>
    </row>
    <row r="295" ht="12.75" customHeight="1">
      <c r="J295" s="36"/>
    </row>
    <row r="296" ht="12.75" customHeight="1">
      <c r="J296" s="36"/>
    </row>
    <row r="297" ht="12.75" customHeight="1">
      <c r="J297" s="36"/>
    </row>
    <row r="298" ht="12.75" customHeight="1">
      <c r="J298" s="36"/>
    </row>
    <row r="299" ht="12.75" customHeight="1">
      <c r="J299" s="36"/>
    </row>
    <row r="300" ht="12.75" customHeight="1">
      <c r="J300" s="36"/>
    </row>
    <row r="301" ht="12.75" customHeight="1">
      <c r="J301" s="36"/>
    </row>
    <row r="302" ht="12.75" customHeight="1">
      <c r="J302" s="36"/>
    </row>
    <row r="303" ht="12.75" customHeight="1">
      <c r="J303" s="36"/>
    </row>
    <row r="304" ht="12.75" customHeight="1">
      <c r="J304" s="36"/>
    </row>
    <row r="305" ht="12.75" customHeight="1">
      <c r="J305" s="36"/>
    </row>
    <row r="306" ht="12.75" customHeight="1">
      <c r="J306" s="36"/>
    </row>
    <row r="307" ht="12.75" customHeight="1">
      <c r="J307" s="36"/>
    </row>
    <row r="308" ht="12.75" customHeight="1">
      <c r="J308" s="36"/>
    </row>
    <row r="309" ht="12.75" customHeight="1">
      <c r="J309" s="36"/>
    </row>
    <row r="310" ht="12.75" customHeight="1">
      <c r="J310" s="36"/>
    </row>
    <row r="311" ht="12.75" customHeight="1">
      <c r="J311" s="36"/>
    </row>
    <row r="312" ht="12.75" customHeight="1">
      <c r="J312" s="36"/>
    </row>
    <row r="313" ht="12.75" customHeight="1">
      <c r="J313" s="36"/>
    </row>
    <row r="314" ht="12.75" customHeight="1">
      <c r="J314" s="36"/>
    </row>
    <row r="315" ht="12.75" customHeight="1">
      <c r="J315" s="36"/>
    </row>
    <row r="316" ht="12.75" customHeight="1">
      <c r="J316" s="36"/>
    </row>
    <row r="317" ht="12.75" customHeight="1">
      <c r="J317" s="36"/>
    </row>
    <row r="318" ht="12.75" customHeight="1">
      <c r="J318" s="36"/>
    </row>
    <row r="319" ht="12.75" customHeight="1">
      <c r="J319" s="36"/>
    </row>
    <row r="320" ht="12.75" customHeight="1">
      <c r="J320" s="36"/>
    </row>
    <row r="321" ht="12.75" customHeight="1">
      <c r="J321" s="36"/>
    </row>
    <row r="322" ht="12.75" customHeight="1">
      <c r="J322" s="36"/>
    </row>
    <row r="323" ht="12.75" customHeight="1">
      <c r="J323" s="36"/>
    </row>
    <row r="324" ht="12.75" customHeight="1">
      <c r="J324" s="36"/>
    </row>
    <row r="325" ht="12.75" customHeight="1">
      <c r="J325" s="36"/>
    </row>
    <row r="326" ht="12.75" customHeight="1">
      <c r="J326" s="36"/>
    </row>
    <row r="327" ht="12.75" customHeight="1">
      <c r="J327" s="36"/>
    </row>
    <row r="328" ht="12.75" customHeight="1">
      <c r="J328" s="36"/>
    </row>
    <row r="329" ht="12.75" customHeight="1">
      <c r="J329" s="36"/>
    </row>
    <row r="330" ht="12.75" customHeight="1">
      <c r="J330" s="36"/>
    </row>
    <row r="331" ht="12.75" customHeight="1">
      <c r="J331" s="36"/>
    </row>
    <row r="332" ht="12.75" customHeight="1">
      <c r="J332" s="36"/>
    </row>
    <row r="333" ht="12.75" customHeight="1">
      <c r="J333" s="36"/>
    </row>
    <row r="334" ht="12.75" customHeight="1">
      <c r="J334" s="36"/>
    </row>
    <row r="335" ht="12.75" customHeight="1">
      <c r="J335" s="36"/>
    </row>
    <row r="336" ht="12.75" customHeight="1">
      <c r="J336" s="36"/>
    </row>
    <row r="337" ht="12.75" customHeight="1">
      <c r="J337" s="36"/>
    </row>
    <row r="338" ht="12.75" customHeight="1">
      <c r="J338" s="36"/>
    </row>
    <row r="339" ht="12.75" customHeight="1">
      <c r="J339" s="36"/>
    </row>
    <row r="340" ht="12.75" customHeight="1">
      <c r="J340" s="36"/>
    </row>
    <row r="341" ht="12.75" customHeight="1">
      <c r="J341" s="36"/>
    </row>
    <row r="342" ht="12.75" customHeight="1">
      <c r="J342" s="36"/>
    </row>
    <row r="343" ht="12.75" customHeight="1">
      <c r="J343" s="36"/>
    </row>
    <row r="344" ht="12.75" customHeight="1">
      <c r="J344" s="36"/>
    </row>
    <row r="345" ht="12.75" customHeight="1">
      <c r="J345" s="36"/>
    </row>
    <row r="346" ht="12.75" customHeight="1">
      <c r="J346" s="36"/>
    </row>
    <row r="347" ht="12.75" customHeight="1">
      <c r="J347" s="36"/>
    </row>
    <row r="348" ht="12.75" customHeight="1">
      <c r="J348" s="36"/>
    </row>
    <row r="349" ht="12.75" customHeight="1">
      <c r="J349" s="36"/>
    </row>
    <row r="350" ht="12.75" customHeight="1">
      <c r="J350" s="36"/>
    </row>
    <row r="351" ht="12.75" customHeight="1">
      <c r="J351" s="36"/>
    </row>
    <row r="352" ht="12.75" customHeight="1">
      <c r="J352" s="36"/>
    </row>
    <row r="353" ht="12.75" customHeight="1">
      <c r="J353" s="36"/>
    </row>
    <row r="354" ht="12.75" customHeight="1">
      <c r="J354" s="36"/>
    </row>
    <row r="355" ht="12.75" customHeight="1">
      <c r="J355" s="36"/>
    </row>
    <row r="356" ht="12.75" customHeight="1">
      <c r="J356" s="36"/>
    </row>
    <row r="357" ht="12.75" customHeight="1">
      <c r="J357" s="36"/>
    </row>
    <row r="358" ht="12.75" customHeight="1">
      <c r="J358" s="36"/>
    </row>
    <row r="359" ht="12.75" customHeight="1">
      <c r="J359" s="36"/>
    </row>
    <row r="360" ht="12.75" customHeight="1">
      <c r="J360" s="36"/>
    </row>
    <row r="361" ht="12.75" customHeight="1">
      <c r="J361" s="36"/>
    </row>
    <row r="362" ht="12.75" customHeight="1">
      <c r="J362" s="36"/>
    </row>
    <row r="363" ht="12.75" customHeight="1">
      <c r="J363" s="36"/>
    </row>
    <row r="364" ht="12.75" customHeight="1">
      <c r="J364" s="36"/>
    </row>
    <row r="365" ht="12.75" customHeight="1">
      <c r="J365" s="36"/>
    </row>
    <row r="366" ht="12.75" customHeight="1">
      <c r="J366" s="36"/>
    </row>
    <row r="367" ht="12.75" customHeight="1">
      <c r="J367" s="36"/>
    </row>
    <row r="368" ht="12.75" customHeight="1">
      <c r="J368" s="36"/>
    </row>
    <row r="369" ht="12.75" customHeight="1">
      <c r="J369" s="36"/>
    </row>
    <row r="370" ht="12.75" customHeight="1">
      <c r="J370" s="36"/>
    </row>
    <row r="371" ht="12.75" customHeight="1">
      <c r="J371" s="36"/>
    </row>
    <row r="372" ht="12.75" customHeight="1">
      <c r="J372" s="36"/>
    </row>
    <row r="373" ht="12.75" customHeight="1">
      <c r="J373" s="36"/>
    </row>
    <row r="374" ht="12.75" customHeight="1">
      <c r="J374" s="36"/>
    </row>
    <row r="375" ht="12.75" customHeight="1">
      <c r="J375" s="36"/>
    </row>
    <row r="376" ht="12.75" customHeight="1">
      <c r="J376" s="36"/>
    </row>
    <row r="377" ht="12.75" customHeight="1">
      <c r="J377" s="36"/>
    </row>
    <row r="378" ht="12.75" customHeight="1">
      <c r="J378" s="36"/>
    </row>
    <row r="379" ht="12.75" customHeight="1">
      <c r="J379" s="36"/>
    </row>
    <row r="380" ht="12.75" customHeight="1">
      <c r="J380" s="36"/>
    </row>
    <row r="381" ht="12.75" customHeight="1">
      <c r="J381" s="36"/>
    </row>
    <row r="382" ht="12.75" customHeight="1">
      <c r="J382" s="36"/>
    </row>
    <row r="383" ht="12.75" customHeight="1">
      <c r="J383" s="36"/>
    </row>
    <row r="384" ht="12.75" customHeight="1">
      <c r="J384" s="36"/>
    </row>
    <row r="385" ht="12.75" customHeight="1">
      <c r="J385" s="36"/>
    </row>
    <row r="386" ht="12.75" customHeight="1">
      <c r="J386" s="36"/>
    </row>
    <row r="387" ht="12.75" customHeight="1">
      <c r="J387" s="36"/>
    </row>
    <row r="388" ht="12.75" customHeight="1">
      <c r="J388" s="36"/>
    </row>
    <row r="389" ht="12.75" customHeight="1">
      <c r="J389" s="36"/>
    </row>
    <row r="390" ht="12.75" customHeight="1">
      <c r="J390" s="36"/>
    </row>
    <row r="391" ht="12.75" customHeight="1">
      <c r="J391" s="36"/>
    </row>
    <row r="392" ht="12.75" customHeight="1">
      <c r="J392" s="36"/>
    </row>
    <row r="393" ht="12.75" customHeight="1">
      <c r="J393" s="36"/>
    </row>
    <row r="394" ht="12.75" customHeight="1">
      <c r="J394" s="36"/>
    </row>
    <row r="395" ht="12.75" customHeight="1">
      <c r="J395" s="36"/>
    </row>
    <row r="396" ht="12.75" customHeight="1">
      <c r="J396" s="36"/>
    </row>
    <row r="397" ht="12.75" customHeight="1">
      <c r="J397" s="36"/>
    </row>
    <row r="398" ht="12.75" customHeight="1">
      <c r="J398" s="36"/>
    </row>
    <row r="399" ht="12.75" customHeight="1">
      <c r="J399" s="36"/>
    </row>
    <row r="400" ht="12.75" customHeight="1">
      <c r="J400" s="36"/>
    </row>
    <row r="401" ht="12.75" customHeight="1">
      <c r="J401" s="36"/>
    </row>
    <row r="402" ht="12.75" customHeight="1">
      <c r="J402" s="36"/>
    </row>
    <row r="403" ht="12.75" customHeight="1">
      <c r="J403" s="36"/>
    </row>
    <row r="404" ht="12.75" customHeight="1">
      <c r="J404" s="36"/>
    </row>
    <row r="405" ht="12.75" customHeight="1">
      <c r="J405" s="36"/>
    </row>
    <row r="406" ht="12.75" customHeight="1">
      <c r="J406" s="36"/>
    </row>
    <row r="407" ht="12.75" customHeight="1">
      <c r="J407" s="36"/>
    </row>
    <row r="408" ht="12.75" customHeight="1">
      <c r="J408" s="36"/>
    </row>
    <row r="409" ht="12.75" customHeight="1">
      <c r="J409" s="36"/>
    </row>
    <row r="410" ht="12.75" customHeight="1">
      <c r="J410" s="36"/>
    </row>
    <row r="411" ht="12.75" customHeight="1">
      <c r="J411" s="36"/>
    </row>
    <row r="412" ht="12.75" customHeight="1">
      <c r="J412" s="36"/>
    </row>
    <row r="413" ht="12.75" customHeight="1">
      <c r="J413" s="36"/>
    </row>
    <row r="414" ht="12.75" customHeight="1">
      <c r="J414" s="36"/>
    </row>
    <row r="415" ht="12.75" customHeight="1">
      <c r="J415" s="36"/>
    </row>
    <row r="416" ht="12.75" customHeight="1">
      <c r="J416" s="36"/>
    </row>
    <row r="417" ht="12.75" customHeight="1">
      <c r="J417" s="36"/>
    </row>
    <row r="418" ht="12.75" customHeight="1">
      <c r="J418" s="36"/>
    </row>
    <row r="419" ht="12.75" customHeight="1">
      <c r="J419" s="36"/>
    </row>
    <row r="420" ht="12.75" customHeight="1">
      <c r="J420" s="36"/>
    </row>
    <row r="421" ht="12.75" customHeight="1">
      <c r="J421" s="36"/>
    </row>
    <row r="422" ht="12.75" customHeight="1">
      <c r="J422" s="36"/>
    </row>
    <row r="423" ht="12.75" customHeight="1">
      <c r="J423" s="36"/>
    </row>
    <row r="424" ht="12.75" customHeight="1">
      <c r="J424" s="36"/>
    </row>
    <row r="425" ht="12.75" customHeight="1">
      <c r="J425" s="36"/>
    </row>
    <row r="426" ht="12.75" customHeight="1">
      <c r="J426" s="36"/>
    </row>
    <row r="427" ht="12.75" customHeight="1">
      <c r="J427" s="36"/>
    </row>
    <row r="428" ht="12.75" customHeight="1">
      <c r="J428" s="36"/>
    </row>
    <row r="429" ht="12.75" customHeight="1">
      <c r="J429" s="36"/>
    </row>
    <row r="430" ht="12.75" customHeight="1">
      <c r="J430" s="36"/>
    </row>
    <row r="431" ht="12.75" customHeight="1">
      <c r="J431" s="36"/>
    </row>
    <row r="432" ht="12.75" customHeight="1">
      <c r="J432" s="36"/>
    </row>
    <row r="433" ht="12.75" customHeight="1">
      <c r="J433" s="36"/>
    </row>
    <row r="434" ht="12.75" customHeight="1">
      <c r="J434" s="36"/>
    </row>
    <row r="435" ht="12.75" customHeight="1">
      <c r="J435" s="36"/>
    </row>
    <row r="436" ht="12.75" customHeight="1">
      <c r="J436" s="36"/>
    </row>
    <row r="437" ht="12.75" customHeight="1">
      <c r="J437" s="36"/>
    </row>
    <row r="438" ht="12.75" customHeight="1">
      <c r="J438" s="36"/>
    </row>
    <row r="439" ht="12.75" customHeight="1">
      <c r="J439" s="36"/>
    </row>
    <row r="440" ht="12.75" customHeight="1">
      <c r="J440" s="36"/>
    </row>
    <row r="441" ht="12.75" customHeight="1">
      <c r="J441" s="36"/>
    </row>
    <row r="442" ht="12.75" customHeight="1">
      <c r="J442" s="36"/>
    </row>
    <row r="443" ht="12.75" customHeight="1">
      <c r="J443" s="36"/>
    </row>
    <row r="444" ht="12.75" customHeight="1">
      <c r="J444" s="36"/>
    </row>
    <row r="445" ht="12.75" customHeight="1">
      <c r="J445" s="36"/>
    </row>
    <row r="446" ht="12.75" customHeight="1">
      <c r="J446" s="36"/>
    </row>
    <row r="447" ht="12.75" customHeight="1">
      <c r="J447" s="36"/>
    </row>
    <row r="448" ht="12.75" customHeight="1">
      <c r="J448" s="36"/>
    </row>
    <row r="449" ht="12.75" customHeight="1">
      <c r="J449" s="36"/>
    </row>
    <row r="450" ht="12.75" customHeight="1">
      <c r="J450" s="36"/>
    </row>
    <row r="451" ht="12.75" customHeight="1">
      <c r="J451" s="36"/>
    </row>
    <row r="452" ht="12.75" customHeight="1">
      <c r="J452" s="36"/>
    </row>
    <row r="453" ht="12.75" customHeight="1">
      <c r="J453" s="36"/>
    </row>
    <row r="454" ht="12.75" customHeight="1">
      <c r="J454" s="36"/>
    </row>
    <row r="455" ht="12.75" customHeight="1">
      <c r="J455" s="36"/>
    </row>
    <row r="456" ht="12.75" customHeight="1">
      <c r="J456" s="36"/>
    </row>
    <row r="457" ht="12.75" customHeight="1">
      <c r="J457" s="36"/>
    </row>
    <row r="458" ht="12.75" customHeight="1">
      <c r="J458" s="36"/>
    </row>
    <row r="459" ht="12.75" customHeight="1">
      <c r="J459" s="36"/>
    </row>
    <row r="460" ht="12.75" customHeight="1">
      <c r="J460" s="36"/>
    </row>
    <row r="461" ht="12.75" customHeight="1">
      <c r="J461" s="36"/>
    </row>
    <row r="462" ht="12.75" customHeight="1">
      <c r="J462" s="36"/>
    </row>
    <row r="463" ht="12.75" customHeight="1">
      <c r="J463" s="36"/>
    </row>
    <row r="464" ht="12.75" customHeight="1">
      <c r="J464" s="36"/>
    </row>
    <row r="465" ht="12.75" customHeight="1">
      <c r="J465" s="36"/>
    </row>
    <row r="466" ht="12.75" customHeight="1">
      <c r="J466" s="36"/>
    </row>
    <row r="467" ht="12.75" customHeight="1">
      <c r="J467" s="36"/>
    </row>
    <row r="468" ht="12.75" customHeight="1">
      <c r="J468" s="36"/>
    </row>
    <row r="469" ht="12.75" customHeight="1">
      <c r="J469" s="36"/>
    </row>
    <row r="470" ht="12.75" customHeight="1">
      <c r="J470" s="36"/>
    </row>
    <row r="471" ht="12.75" customHeight="1">
      <c r="J471" s="36"/>
    </row>
    <row r="472" ht="12.75" customHeight="1">
      <c r="J472" s="36"/>
    </row>
    <row r="473" ht="12.75" customHeight="1">
      <c r="J473" s="36"/>
    </row>
    <row r="474" ht="12.75" customHeight="1">
      <c r="J474" s="36"/>
    </row>
    <row r="475" ht="12.75" customHeight="1">
      <c r="J475" s="36"/>
    </row>
    <row r="476" ht="12.75" customHeight="1">
      <c r="J476" s="36"/>
    </row>
    <row r="477" ht="12.75" customHeight="1">
      <c r="J477" s="36"/>
    </row>
    <row r="478" ht="12.75" customHeight="1">
      <c r="J478" s="36"/>
    </row>
    <row r="479" ht="12.75" customHeight="1">
      <c r="J479" s="36"/>
    </row>
    <row r="480" ht="12.75" customHeight="1">
      <c r="J480" s="36"/>
    </row>
    <row r="481" ht="12.75" customHeight="1">
      <c r="J481" s="36"/>
    </row>
    <row r="482" ht="12.75" customHeight="1">
      <c r="J482" s="36"/>
    </row>
    <row r="483" ht="12.75" customHeight="1">
      <c r="J483" s="36"/>
    </row>
    <row r="484" ht="12.75" customHeight="1">
      <c r="J484" s="36"/>
    </row>
    <row r="485" ht="12.75" customHeight="1">
      <c r="J485" s="36"/>
    </row>
    <row r="486" ht="12.75" customHeight="1">
      <c r="J486" s="36"/>
    </row>
    <row r="487" ht="12.75" customHeight="1">
      <c r="J487" s="36"/>
    </row>
    <row r="488" ht="12.75" customHeight="1">
      <c r="J488" s="36"/>
    </row>
    <row r="489" ht="12.75" customHeight="1">
      <c r="J489" s="36"/>
    </row>
    <row r="490" ht="12.75" customHeight="1">
      <c r="J490" s="36"/>
    </row>
    <row r="491" ht="12.75" customHeight="1">
      <c r="J491" s="36"/>
    </row>
    <row r="492" ht="12.75" customHeight="1">
      <c r="J492" s="36"/>
    </row>
    <row r="493" ht="12.75" customHeight="1">
      <c r="J493" s="36"/>
    </row>
    <row r="494" ht="12.75" customHeight="1">
      <c r="J494" s="36"/>
    </row>
    <row r="495" ht="12.75" customHeight="1">
      <c r="J495" s="36"/>
    </row>
    <row r="496" ht="12.75" customHeight="1">
      <c r="J496" s="36"/>
    </row>
    <row r="497" ht="12.75" customHeight="1">
      <c r="J497" s="36"/>
    </row>
    <row r="498" ht="12.75" customHeight="1">
      <c r="J498" s="36"/>
    </row>
    <row r="499" ht="12.75" customHeight="1">
      <c r="J499" s="36"/>
    </row>
    <row r="500" ht="12.75" customHeight="1">
      <c r="J500" s="36"/>
    </row>
    <row r="501" ht="12.75" customHeight="1">
      <c r="J501" s="36"/>
    </row>
    <row r="502" ht="12.75" customHeight="1">
      <c r="J502" s="36"/>
    </row>
    <row r="503" ht="12.75" customHeight="1">
      <c r="J503" s="36"/>
    </row>
    <row r="504" ht="12.75" customHeight="1">
      <c r="J504" s="36"/>
    </row>
    <row r="505" ht="12.75" customHeight="1">
      <c r="J505" s="36"/>
    </row>
    <row r="506" ht="12.75" customHeight="1">
      <c r="J506" s="36"/>
    </row>
    <row r="507" ht="12.75" customHeight="1">
      <c r="J507" s="36"/>
    </row>
    <row r="508" ht="12.75" customHeight="1">
      <c r="J508" s="36"/>
    </row>
    <row r="509" ht="12.75" customHeight="1">
      <c r="J509" s="36"/>
    </row>
    <row r="510" ht="12.75" customHeight="1">
      <c r="J510" s="36"/>
    </row>
    <row r="511" ht="12.75" customHeight="1">
      <c r="J511" s="36"/>
    </row>
    <row r="512" ht="12.75" customHeight="1">
      <c r="J512" s="36"/>
    </row>
    <row r="513" ht="12.75" customHeight="1">
      <c r="J513" s="36"/>
    </row>
    <row r="514" ht="12.75" customHeight="1">
      <c r="J514" s="36"/>
    </row>
    <row r="515" ht="12.75" customHeight="1">
      <c r="J515" s="36"/>
    </row>
    <row r="516" ht="12.75" customHeight="1">
      <c r="J516" s="36"/>
    </row>
    <row r="517" ht="12.75" customHeight="1">
      <c r="J517" s="36"/>
    </row>
    <row r="518" ht="12.75" customHeight="1">
      <c r="J518" s="36"/>
    </row>
    <row r="519" ht="12.75" customHeight="1">
      <c r="J519" s="36"/>
    </row>
    <row r="520" ht="12.75" customHeight="1">
      <c r="J520" s="36"/>
    </row>
    <row r="521" ht="12.75" customHeight="1">
      <c r="J521" s="36"/>
    </row>
    <row r="522" ht="12.75" customHeight="1">
      <c r="J522" s="36"/>
    </row>
    <row r="523" ht="12.75" customHeight="1">
      <c r="J523" s="36"/>
    </row>
    <row r="524" ht="12.75" customHeight="1">
      <c r="J524" s="36"/>
    </row>
    <row r="525" ht="12.75" customHeight="1">
      <c r="J525" s="36"/>
    </row>
    <row r="526" ht="12.75" customHeight="1">
      <c r="J526" s="36"/>
    </row>
    <row r="527" ht="12.75" customHeight="1">
      <c r="J527" s="36"/>
    </row>
    <row r="528" ht="12.75" customHeight="1">
      <c r="J528" s="36"/>
    </row>
    <row r="529" ht="12.75" customHeight="1">
      <c r="J529" s="36"/>
    </row>
    <row r="530" ht="12.75" customHeight="1">
      <c r="J530" s="36"/>
    </row>
    <row r="531" ht="12.75" customHeight="1">
      <c r="J531" s="36"/>
    </row>
    <row r="532" ht="12.75" customHeight="1">
      <c r="J532" s="36"/>
    </row>
    <row r="533" ht="12.75" customHeight="1">
      <c r="J533" s="36"/>
    </row>
    <row r="534" ht="12.75" customHeight="1">
      <c r="J534" s="36"/>
    </row>
    <row r="535" ht="12.75" customHeight="1">
      <c r="J535" s="36"/>
    </row>
    <row r="536" ht="12.75" customHeight="1">
      <c r="J536" s="36"/>
    </row>
    <row r="537" ht="12.75" customHeight="1">
      <c r="J537" s="36"/>
    </row>
    <row r="538" ht="12.75" customHeight="1">
      <c r="J538" s="36"/>
    </row>
    <row r="539" ht="12.75" customHeight="1">
      <c r="J539" s="36"/>
    </row>
    <row r="540" ht="12.75" customHeight="1">
      <c r="J540" s="36"/>
    </row>
    <row r="541" ht="12.75" customHeight="1">
      <c r="J541" s="36"/>
    </row>
    <row r="542" ht="12.75" customHeight="1">
      <c r="J542" s="36"/>
    </row>
    <row r="543" ht="12.75" customHeight="1">
      <c r="J543" s="36"/>
    </row>
    <row r="544" ht="12.75" customHeight="1">
      <c r="J544" s="36"/>
    </row>
    <row r="545" ht="12.75" customHeight="1">
      <c r="J545" s="36"/>
    </row>
    <row r="546" ht="12.75" customHeight="1">
      <c r="J546" s="36"/>
    </row>
    <row r="547" ht="12.75" customHeight="1">
      <c r="J547" s="36"/>
    </row>
    <row r="548" ht="12.75" customHeight="1">
      <c r="J548" s="36"/>
    </row>
    <row r="549" ht="12.75" customHeight="1">
      <c r="J549" s="36"/>
    </row>
    <row r="550" ht="12.75" customHeight="1">
      <c r="J550" s="36"/>
    </row>
    <row r="551" ht="12.75" customHeight="1">
      <c r="J551" s="36"/>
    </row>
    <row r="552" ht="12.75" customHeight="1">
      <c r="J552" s="36"/>
    </row>
    <row r="553" ht="12.75" customHeight="1">
      <c r="J553" s="36"/>
    </row>
    <row r="554" ht="12.75" customHeight="1">
      <c r="J554" s="36"/>
    </row>
    <row r="555" ht="12.75" customHeight="1">
      <c r="J555" s="36"/>
    </row>
    <row r="556" ht="12.75" customHeight="1">
      <c r="J556" s="36"/>
    </row>
    <row r="557" ht="12.75" customHeight="1">
      <c r="J557" s="36"/>
    </row>
    <row r="558" ht="12.75" customHeight="1">
      <c r="J558" s="36"/>
    </row>
    <row r="559" ht="12.75" customHeight="1">
      <c r="J559" s="36"/>
    </row>
    <row r="560" ht="12.75" customHeight="1">
      <c r="J560" s="36"/>
    </row>
    <row r="561" ht="12.75" customHeight="1">
      <c r="J561" s="36"/>
    </row>
    <row r="562" ht="12.75" customHeight="1">
      <c r="J562" s="36"/>
    </row>
    <row r="563" ht="12.75" customHeight="1">
      <c r="J563" s="36"/>
    </row>
    <row r="564" ht="12.75" customHeight="1">
      <c r="J564" s="36"/>
    </row>
    <row r="565" ht="12.75" customHeight="1">
      <c r="J565" s="36"/>
    </row>
    <row r="566" ht="12.75" customHeight="1">
      <c r="J566" s="36"/>
    </row>
    <row r="567" ht="12.75" customHeight="1">
      <c r="J567" s="36"/>
    </row>
    <row r="568" ht="12.75" customHeight="1">
      <c r="J568" s="36"/>
    </row>
    <row r="569" ht="12.75" customHeight="1">
      <c r="J569" s="36"/>
    </row>
    <row r="570" ht="12.75" customHeight="1">
      <c r="J570" s="36"/>
    </row>
    <row r="571" ht="12.75" customHeight="1">
      <c r="J571" s="36"/>
    </row>
    <row r="572" ht="12.75" customHeight="1">
      <c r="J572" s="36"/>
    </row>
    <row r="573" ht="12.75" customHeight="1">
      <c r="J573" s="36"/>
    </row>
    <row r="574" ht="12.75" customHeight="1">
      <c r="J574" s="36"/>
    </row>
    <row r="575" ht="12.75" customHeight="1">
      <c r="J575" s="36"/>
    </row>
    <row r="576" ht="12.75" customHeight="1">
      <c r="J576" s="36"/>
    </row>
    <row r="577" ht="12.75" customHeight="1">
      <c r="J577" s="36"/>
    </row>
    <row r="578" ht="12.75" customHeight="1">
      <c r="J578" s="36"/>
    </row>
    <row r="579" ht="12.75" customHeight="1">
      <c r="J579" s="36"/>
    </row>
    <row r="580" ht="12.75" customHeight="1">
      <c r="J580" s="36"/>
    </row>
    <row r="581" ht="12.75" customHeight="1">
      <c r="J581" s="36"/>
    </row>
    <row r="582" ht="12.75" customHeight="1">
      <c r="J582" s="36"/>
    </row>
    <row r="583" ht="12.75" customHeight="1">
      <c r="J583" s="36"/>
    </row>
    <row r="584" ht="12.75" customHeight="1">
      <c r="J584" s="36"/>
    </row>
    <row r="585" ht="12.75" customHeight="1">
      <c r="J585" s="36"/>
    </row>
    <row r="586" ht="12.75" customHeight="1">
      <c r="J586" s="36"/>
    </row>
    <row r="587" ht="12.75" customHeight="1">
      <c r="J587" s="36"/>
    </row>
    <row r="588" ht="12.75" customHeight="1">
      <c r="J588" s="36"/>
    </row>
    <row r="589" ht="12.75" customHeight="1">
      <c r="J589" s="36"/>
    </row>
    <row r="590" ht="12.75" customHeight="1">
      <c r="J590" s="36"/>
    </row>
    <row r="591" ht="12.75" customHeight="1">
      <c r="J591" s="36"/>
    </row>
    <row r="592" ht="12.75" customHeight="1">
      <c r="J592" s="36"/>
    </row>
    <row r="593" ht="12.75" customHeight="1">
      <c r="J593" s="36"/>
    </row>
    <row r="594" ht="12.75" customHeight="1">
      <c r="J594" s="36"/>
    </row>
    <row r="595" ht="12.75" customHeight="1">
      <c r="J595" s="36"/>
    </row>
    <row r="596" ht="12.75" customHeight="1">
      <c r="J596" s="36"/>
    </row>
    <row r="597" ht="12.75" customHeight="1">
      <c r="J597" s="36"/>
    </row>
    <row r="598" ht="12.75" customHeight="1">
      <c r="J598" s="36"/>
    </row>
    <row r="599" ht="12.75" customHeight="1">
      <c r="J599" s="36"/>
    </row>
    <row r="600" ht="12.75" customHeight="1">
      <c r="J600" s="36"/>
    </row>
    <row r="601" ht="12.75" customHeight="1">
      <c r="J601" s="36"/>
    </row>
    <row r="602" ht="12.75" customHeight="1">
      <c r="J602" s="36"/>
    </row>
    <row r="603" ht="12.75" customHeight="1">
      <c r="J603" s="36"/>
    </row>
    <row r="604" ht="12.75" customHeight="1">
      <c r="J604" s="36"/>
    </row>
    <row r="605" ht="12.75" customHeight="1">
      <c r="J605" s="36"/>
    </row>
    <row r="606" ht="12.75" customHeight="1">
      <c r="J606" s="36"/>
    </row>
    <row r="607" ht="12.75" customHeight="1">
      <c r="J607" s="36"/>
    </row>
    <row r="608" ht="12.75" customHeight="1">
      <c r="J608" s="36"/>
    </row>
    <row r="609" ht="12.75" customHeight="1">
      <c r="J609" s="36"/>
    </row>
    <row r="610" ht="12.75" customHeight="1">
      <c r="J610" s="36"/>
    </row>
    <row r="611" ht="12.75" customHeight="1">
      <c r="J611" s="36"/>
    </row>
    <row r="612" ht="12.75" customHeight="1">
      <c r="J612" s="36"/>
    </row>
    <row r="613" ht="12.75" customHeight="1">
      <c r="J613" s="36"/>
    </row>
    <row r="614" ht="12.75" customHeight="1">
      <c r="J614" s="36"/>
    </row>
    <row r="615" ht="12.75" customHeight="1">
      <c r="J615" s="36"/>
    </row>
    <row r="616" ht="12.75" customHeight="1">
      <c r="J616" s="36"/>
    </row>
    <row r="617" ht="12.75" customHeight="1">
      <c r="J617" s="36"/>
    </row>
    <row r="618" ht="12.75" customHeight="1">
      <c r="J618" s="36"/>
    </row>
    <row r="619" ht="12.75" customHeight="1">
      <c r="J619" s="36"/>
    </row>
    <row r="620" ht="12.75" customHeight="1">
      <c r="J620" s="36"/>
    </row>
    <row r="621" ht="12.75" customHeight="1">
      <c r="J621" s="36"/>
    </row>
    <row r="622" ht="12.75" customHeight="1">
      <c r="J622" s="36"/>
    </row>
    <row r="623" ht="12.75" customHeight="1">
      <c r="J623" s="36"/>
    </row>
    <row r="624" ht="12.75" customHeight="1">
      <c r="J624" s="36"/>
    </row>
    <row r="625" ht="12.75" customHeight="1">
      <c r="J625" s="36"/>
    </row>
    <row r="626" ht="12.75" customHeight="1">
      <c r="J626" s="36"/>
    </row>
    <row r="627" ht="12.75" customHeight="1">
      <c r="J627" s="36"/>
    </row>
    <row r="628" ht="12.75" customHeight="1">
      <c r="J628" s="36"/>
    </row>
    <row r="629" ht="12.75" customHeight="1">
      <c r="J629" s="36"/>
    </row>
    <row r="630" ht="12.75" customHeight="1">
      <c r="J630" s="36"/>
    </row>
    <row r="631" ht="12.75" customHeight="1">
      <c r="J631" s="36"/>
    </row>
    <row r="632" ht="12.75" customHeight="1">
      <c r="J632" s="36"/>
    </row>
    <row r="633" ht="12.75" customHeight="1">
      <c r="J633" s="36"/>
    </row>
    <row r="634" ht="12.75" customHeight="1">
      <c r="J634" s="36"/>
    </row>
    <row r="635" ht="12.75" customHeight="1">
      <c r="J635" s="36"/>
    </row>
    <row r="636" ht="12.75" customHeight="1">
      <c r="J636" s="36"/>
    </row>
    <row r="637" ht="12.75" customHeight="1">
      <c r="J637" s="36"/>
    </row>
    <row r="638" ht="12.75" customHeight="1">
      <c r="J638" s="36"/>
    </row>
    <row r="639" ht="12.75" customHeight="1">
      <c r="J639" s="36"/>
    </row>
    <row r="640" ht="12.75" customHeight="1">
      <c r="J640" s="36"/>
    </row>
    <row r="641" ht="12.75" customHeight="1">
      <c r="J641" s="36"/>
    </row>
    <row r="642" ht="12.75" customHeight="1">
      <c r="J642" s="36"/>
    </row>
    <row r="643" ht="12.75" customHeight="1">
      <c r="J643" s="36"/>
    </row>
    <row r="644" ht="12.75" customHeight="1">
      <c r="J644" s="36"/>
    </row>
    <row r="645" ht="12.75" customHeight="1">
      <c r="J645" s="36"/>
    </row>
    <row r="646" ht="12.75" customHeight="1">
      <c r="J646" s="36"/>
    </row>
    <row r="647" ht="12.75" customHeight="1">
      <c r="J647" s="36"/>
    </row>
    <row r="648" ht="12.75" customHeight="1">
      <c r="J648" s="36"/>
    </row>
    <row r="649" ht="12.75" customHeight="1">
      <c r="J649" s="36"/>
    </row>
    <row r="650" ht="12.75" customHeight="1">
      <c r="J650" s="36"/>
    </row>
    <row r="651" ht="12.75" customHeight="1">
      <c r="J651" s="36"/>
    </row>
    <row r="652" ht="12.75" customHeight="1">
      <c r="J652" s="36"/>
    </row>
    <row r="653" ht="12.75" customHeight="1">
      <c r="J653" s="36"/>
    </row>
    <row r="654" ht="12.75" customHeight="1">
      <c r="J654" s="36"/>
    </row>
    <row r="655" ht="12.75" customHeight="1">
      <c r="J655" s="36"/>
    </row>
    <row r="656" ht="12.75" customHeight="1">
      <c r="J656" s="36"/>
    </row>
    <row r="657" ht="12.75" customHeight="1">
      <c r="J657" s="36"/>
    </row>
    <row r="658" ht="12.75" customHeight="1">
      <c r="J658" s="36"/>
    </row>
    <row r="659" ht="12.75" customHeight="1">
      <c r="J659" s="36"/>
    </row>
    <row r="660" ht="12.75" customHeight="1">
      <c r="J660" s="36"/>
    </row>
    <row r="661" ht="12.75" customHeight="1">
      <c r="J661" s="36"/>
    </row>
    <row r="662" ht="12.75" customHeight="1">
      <c r="J662" s="36"/>
    </row>
    <row r="663" ht="12.75" customHeight="1">
      <c r="J663" s="36"/>
    </row>
    <row r="664" ht="12.75" customHeight="1">
      <c r="J664" s="36"/>
    </row>
    <row r="665" ht="12.75" customHeight="1">
      <c r="J665" s="36"/>
    </row>
    <row r="666" ht="12.75" customHeight="1">
      <c r="J666" s="36"/>
    </row>
    <row r="667" ht="12.75" customHeight="1">
      <c r="J667" s="36"/>
    </row>
    <row r="668" ht="12.75" customHeight="1">
      <c r="J668" s="36"/>
    </row>
    <row r="669" ht="12.75" customHeight="1">
      <c r="J669" s="36"/>
    </row>
    <row r="670" ht="12.75" customHeight="1">
      <c r="J670" s="36"/>
    </row>
    <row r="671" ht="12.75" customHeight="1">
      <c r="J671" s="36"/>
    </row>
    <row r="672" ht="12.75" customHeight="1">
      <c r="J672" s="36"/>
    </row>
    <row r="673" ht="12.75" customHeight="1">
      <c r="J673" s="36"/>
    </row>
    <row r="674" ht="12.75" customHeight="1">
      <c r="J674" s="36"/>
    </row>
    <row r="675" ht="12.75" customHeight="1">
      <c r="J675" s="36"/>
    </row>
    <row r="676" ht="12.75" customHeight="1">
      <c r="J676" s="36"/>
    </row>
    <row r="677" ht="12.75" customHeight="1">
      <c r="J677" s="36"/>
    </row>
    <row r="678" ht="12.75" customHeight="1">
      <c r="J678" s="36"/>
    </row>
    <row r="679" ht="12.75" customHeight="1">
      <c r="J679" s="36"/>
    </row>
    <row r="680" ht="12.75" customHeight="1">
      <c r="J680" s="36"/>
    </row>
    <row r="681" ht="12.75" customHeight="1">
      <c r="J681" s="36"/>
    </row>
    <row r="682" ht="12.75" customHeight="1">
      <c r="J682" s="36"/>
    </row>
    <row r="683" ht="12.75" customHeight="1">
      <c r="J683" s="36"/>
    </row>
    <row r="684" ht="12.75" customHeight="1">
      <c r="J684" s="36"/>
    </row>
    <row r="685" ht="12.75" customHeight="1">
      <c r="J685" s="36"/>
    </row>
    <row r="686" ht="12.75" customHeight="1">
      <c r="J686" s="36"/>
    </row>
    <row r="687" ht="12.75" customHeight="1">
      <c r="J687" s="36"/>
    </row>
    <row r="688" ht="12.75" customHeight="1">
      <c r="J688" s="36"/>
    </row>
    <row r="689" ht="12.75" customHeight="1">
      <c r="J689" s="36"/>
    </row>
    <row r="690" ht="12.75" customHeight="1">
      <c r="J690" s="36"/>
    </row>
    <row r="691" ht="12.75" customHeight="1">
      <c r="J691" s="36"/>
    </row>
    <row r="692" ht="12.75" customHeight="1">
      <c r="J692" s="36"/>
    </row>
    <row r="693" ht="12.75" customHeight="1">
      <c r="J693" s="36"/>
    </row>
    <row r="694" ht="12.75" customHeight="1">
      <c r="J694" s="36"/>
    </row>
    <row r="695" ht="12.75" customHeight="1">
      <c r="J695" s="36"/>
    </row>
    <row r="696" ht="12.75" customHeight="1">
      <c r="J696" s="36"/>
    </row>
    <row r="697" ht="12.75" customHeight="1">
      <c r="J697" s="36"/>
    </row>
    <row r="698" ht="12.75" customHeight="1">
      <c r="J698" s="36"/>
    </row>
    <row r="699" ht="12.75" customHeight="1">
      <c r="J699" s="36"/>
    </row>
    <row r="700" ht="12.75" customHeight="1">
      <c r="J700" s="36"/>
    </row>
    <row r="701" ht="12.75" customHeight="1">
      <c r="J701" s="36"/>
    </row>
    <row r="702" ht="12.75" customHeight="1">
      <c r="J702" s="36"/>
    </row>
    <row r="703" ht="12.75" customHeight="1">
      <c r="J703" s="36"/>
    </row>
    <row r="704" ht="12.75" customHeight="1">
      <c r="J704" s="36"/>
    </row>
    <row r="705" ht="12.75" customHeight="1">
      <c r="J705" s="36"/>
    </row>
    <row r="706" ht="12.75" customHeight="1">
      <c r="J706" s="36"/>
    </row>
    <row r="707" ht="12.75" customHeight="1">
      <c r="J707" s="36"/>
    </row>
    <row r="708" ht="12.75" customHeight="1">
      <c r="J708" s="36"/>
    </row>
    <row r="709" ht="12.75" customHeight="1">
      <c r="J709" s="36"/>
    </row>
    <row r="710" ht="12.75" customHeight="1">
      <c r="J710" s="36"/>
    </row>
    <row r="711" ht="12.75" customHeight="1">
      <c r="J711" s="36"/>
    </row>
    <row r="712" ht="12.75" customHeight="1">
      <c r="J712" s="36"/>
    </row>
    <row r="713" ht="12.75" customHeight="1">
      <c r="J713" s="36"/>
    </row>
    <row r="714" ht="12.75" customHeight="1">
      <c r="J714" s="36"/>
    </row>
    <row r="715" ht="12.75" customHeight="1">
      <c r="J715" s="36"/>
    </row>
    <row r="716" ht="12.75" customHeight="1">
      <c r="J716" s="36"/>
    </row>
    <row r="717" ht="12.75" customHeight="1">
      <c r="J717" s="36"/>
    </row>
    <row r="718" ht="12.75" customHeight="1">
      <c r="J718" s="36"/>
    </row>
    <row r="719" ht="12.75" customHeight="1">
      <c r="J719" s="36"/>
    </row>
    <row r="720" ht="12.75" customHeight="1">
      <c r="J720" s="36"/>
    </row>
    <row r="721" ht="12.75" customHeight="1">
      <c r="J721" s="36"/>
    </row>
    <row r="722" ht="12.75" customHeight="1">
      <c r="J722" s="36"/>
    </row>
    <row r="723" ht="12.75" customHeight="1">
      <c r="J723" s="36"/>
    </row>
    <row r="724" ht="12.75" customHeight="1">
      <c r="J724" s="36"/>
    </row>
    <row r="725" ht="12.75" customHeight="1">
      <c r="J725" s="36"/>
    </row>
    <row r="726" ht="12.75" customHeight="1">
      <c r="J726" s="36"/>
    </row>
    <row r="727" ht="12.75" customHeight="1">
      <c r="J727" s="36"/>
    </row>
    <row r="728" ht="12.75" customHeight="1">
      <c r="J728" s="36"/>
    </row>
    <row r="729" ht="12.75" customHeight="1">
      <c r="J729" s="36"/>
    </row>
    <row r="730" ht="12.75" customHeight="1">
      <c r="J730" s="36"/>
    </row>
    <row r="731" ht="12.75" customHeight="1">
      <c r="J731" s="36"/>
    </row>
    <row r="732" ht="12.75" customHeight="1">
      <c r="J732" s="36"/>
    </row>
    <row r="733" ht="12.75" customHeight="1">
      <c r="J733" s="36"/>
    </row>
    <row r="734" ht="12.75" customHeight="1">
      <c r="J734" s="36"/>
    </row>
    <row r="735" ht="12.75" customHeight="1">
      <c r="J735" s="36"/>
    </row>
    <row r="736" ht="12.75" customHeight="1">
      <c r="J736" s="36"/>
    </row>
    <row r="737" ht="12.75" customHeight="1">
      <c r="J737" s="36"/>
    </row>
    <row r="738" ht="12.75" customHeight="1">
      <c r="J738" s="36"/>
    </row>
    <row r="739" ht="12.75" customHeight="1">
      <c r="J739" s="36"/>
    </row>
    <row r="740" ht="12.75" customHeight="1">
      <c r="J740" s="36"/>
    </row>
    <row r="741" ht="12.75" customHeight="1">
      <c r="J741" s="36"/>
    </row>
    <row r="742" ht="12.75" customHeight="1">
      <c r="J742" s="36"/>
    </row>
    <row r="743" ht="12.75" customHeight="1">
      <c r="J743" s="36"/>
    </row>
    <row r="744" ht="12.75" customHeight="1">
      <c r="J744" s="36"/>
    </row>
    <row r="745" ht="12.75" customHeight="1">
      <c r="J745" s="36"/>
    </row>
    <row r="746" ht="12.75" customHeight="1">
      <c r="J746" s="36"/>
    </row>
    <row r="747" ht="12.75" customHeight="1">
      <c r="J747" s="36"/>
    </row>
    <row r="748" ht="12.75" customHeight="1">
      <c r="J748" s="36"/>
    </row>
    <row r="749" ht="12.75" customHeight="1">
      <c r="J749" s="36"/>
    </row>
    <row r="750" ht="12.75" customHeight="1">
      <c r="J750" s="36"/>
    </row>
    <row r="751" ht="12.75" customHeight="1">
      <c r="J751" s="36"/>
    </row>
    <row r="752" ht="12.75" customHeight="1">
      <c r="J752" s="36"/>
    </row>
    <row r="753" ht="12.75" customHeight="1">
      <c r="J753" s="36"/>
    </row>
    <row r="754" ht="12.75" customHeight="1">
      <c r="J754" s="36"/>
    </row>
    <row r="755" ht="12.75" customHeight="1">
      <c r="J755" s="36"/>
    </row>
    <row r="756" ht="12.75" customHeight="1">
      <c r="J756" s="36"/>
    </row>
    <row r="757" ht="12.75" customHeight="1">
      <c r="J757" s="36"/>
    </row>
    <row r="758" ht="12.75" customHeight="1">
      <c r="J758" s="36"/>
    </row>
    <row r="759" ht="12.75" customHeight="1">
      <c r="J759" s="36"/>
    </row>
    <row r="760" ht="12.75" customHeight="1">
      <c r="J760" s="36"/>
    </row>
    <row r="761" ht="12.75" customHeight="1">
      <c r="J761" s="36"/>
    </row>
    <row r="762" ht="12.75" customHeight="1">
      <c r="J762" s="36"/>
    </row>
    <row r="763" ht="12.75" customHeight="1">
      <c r="J763" s="36"/>
    </row>
    <row r="764" ht="12.75" customHeight="1">
      <c r="J764" s="36"/>
    </row>
    <row r="765" ht="12.75" customHeight="1">
      <c r="J765" s="36"/>
    </row>
    <row r="766" ht="12.75" customHeight="1">
      <c r="J766" s="36"/>
    </row>
    <row r="767" ht="12.75" customHeight="1">
      <c r="J767" s="36"/>
    </row>
    <row r="768" ht="12.75" customHeight="1">
      <c r="J768" s="36"/>
    </row>
    <row r="769" ht="12.75" customHeight="1">
      <c r="J769" s="36"/>
    </row>
    <row r="770" ht="12.75" customHeight="1">
      <c r="J770" s="36"/>
    </row>
    <row r="771" ht="12.75" customHeight="1">
      <c r="J771" s="36"/>
    </row>
    <row r="772" ht="12.75" customHeight="1">
      <c r="J772" s="36"/>
    </row>
    <row r="773" ht="12.75" customHeight="1">
      <c r="J773" s="36"/>
    </row>
    <row r="774" ht="12.75" customHeight="1">
      <c r="J774" s="36"/>
    </row>
    <row r="775" ht="12.75" customHeight="1">
      <c r="J775" s="36"/>
    </row>
    <row r="776" ht="12.75" customHeight="1">
      <c r="J776" s="36"/>
    </row>
    <row r="777" ht="12.75" customHeight="1">
      <c r="J777" s="36"/>
    </row>
    <row r="778" ht="12.75" customHeight="1">
      <c r="J778" s="36"/>
    </row>
    <row r="779" ht="12.75" customHeight="1">
      <c r="J779" s="36"/>
    </row>
    <row r="780" ht="12.75" customHeight="1">
      <c r="J780" s="36"/>
    </row>
    <row r="781" ht="12.75" customHeight="1">
      <c r="J781" s="36"/>
    </row>
    <row r="782" ht="12.75" customHeight="1">
      <c r="J782" s="36"/>
    </row>
    <row r="783" ht="12.75" customHeight="1">
      <c r="J783" s="36"/>
    </row>
    <row r="784" ht="12.75" customHeight="1">
      <c r="J784" s="36"/>
    </row>
    <row r="785" ht="12.75" customHeight="1">
      <c r="J785" s="36"/>
    </row>
    <row r="786" ht="12.75" customHeight="1">
      <c r="J786" s="36"/>
    </row>
    <row r="787" ht="12.75" customHeight="1">
      <c r="J787" s="36"/>
    </row>
    <row r="788" ht="12.75" customHeight="1">
      <c r="J788" s="36"/>
    </row>
    <row r="789" ht="12.75" customHeight="1">
      <c r="J789" s="36"/>
    </row>
    <row r="790" ht="12.75" customHeight="1">
      <c r="J790" s="36"/>
    </row>
    <row r="791" ht="12.75" customHeight="1">
      <c r="J791" s="36"/>
    </row>
    <row r="792" ht="12.75" customHeight="1">
      <c r="J792" s="36"/>
    </row>
    <row r="793" ht="12.75" customHeight="1">
      <c r="J793" s="36"/>
    </row>
    <row r="794" ht="12.75" customHeight="1">
      <c r="J794" s="36"/>
    </row>
    <row r="795" ht="12.75" customHeight="1">
      <c r="J795" s="36"/>
    </row>
    <row r="796" ht="12.75" customHeight="1">
      <c r="J796" s="36"/>
    </row>
    <row r="797" ht="12.75" customHeight="1">
      <c r="J797" s="36"/>
    </row>
    <row r="798" ht="12.75" customHeight="1">
      <c r="J798" s="36"/>
    </row>
    <row r="799" ht="12.75" customHeight="1">
      <c r="J799" s="36"/>
    </row>
    <row r="800" ht="12.75" customHeight="1">
      <c r="J800" s="36"/>
    </row>
    <row r="801" ht="12.75" customHeight="1">
      <c r="J801" s="36"/>
    </row>
    <row r="802" ht="12.75" customHeight="1">
      <c r="J802" s="36"/>
    </row>
    <row r="803" ht="12.75" customHeight="1">
      <c r="J803" s="36"/>
    </row>
    <row r="804" ht="12.75" customHeight="1">
      <c r="J804" s="36"/>
    </row>
    <row r="805" ht="12.75" customHeight="1">
      <c r="J805" s="36"/>
    </row>
    <row r="806" ht="12.75" customHeight="1">
      <c r="J806" s="36"/>
    </row>
    <row r="807" ht="12.75" customHeight="1">
      <c r="J807" s="36"/>
    </row>
    <row r="808" ht="12.75" customHeight="1">
      <c r="J808" s="36"/>
    </row>
    <row r="809" ht="12.75" customHeight="1">
      <c r="J809" s="36"/>
    </row>
    <row r="810" ht="12.75" customHeight="1">
      <c r="J810" s="36"/>
    </row>
    <row r="811" ht="12.75" customHeight="1">
      <c r="J811" s="36"/>
    </row>
    <row r="812" ht="12.75" customHeight="1">
      <c r="J812" s="36"/>
    </row>
    <row r="813" ht="12.75" customHeight="1">
      <c r="J813" s="36"/>
    </row>
    <row r="814" ht="12.75" customHeight="1">
      <c r="J814" s="36"/>
    </row>
    <row r="815" ht="12.75" customHeight="1">
      <c r="J815" s="36"/>
    </row>
    <row r="816" ht="12.75" customHeight="1">
      <c r="J816" s="36"/>
    </row>
    <row r="817" ht="12.75" customHeight="1">
      <c r="J817" s="36"/>
    </row>
    <row r="818" ht="12.75" customHeight="1">
      <c r="J818" s="36"/>
    </row>
    <row r="819" ht="12.75" customHeight="1">
      <c r="J819" s="36"/>
    </row>
    <row r="820" ht="12.75" customHeight="1">
      <c r="J820" s="36"/>
    </row>
    <row r="821" ht="12.75" customHeight="1">
      <c r="J821" s="36"/>
    </row>
    <row r="822" ht="12.75" customHeight="1">
      <c r="J822" s="36"/>
    </row>
    <row r="823" ht="12.75" customHeight="1">
      <c r="J823" s="36"/>
    </row>
    <row r="824" ht="12.75" customHeight="1">
      <c r="J824" s="36"/>
    </row>
    <row r="825" ht="12.75" customHeight="1">
      <c r="J825" s="36"/>
    </row>
    <row r="826" ht="12.75" customHeight="1">
      <c r="J826" s="36"/>
    </row>
    <row r="827" ht="12.75" customHeight="1">
      <c r="J827" s="36"/>
    </row>
    <row r="828" ht="12.75" customHeight="1">
      <c r="J828" s="36"/>
    </row>
    <row r="829" ht="12.75" customHeight="1">
      <c r="J829" s="36"/>
    </row>
    <row r="830" ht="12.75" customHeight="1">
      <c r="J830" s="36"/>
    </row>
    <row r="831" ht="12.75" customHeight="1">
      <c r="J831" s="36"/>
    </row>
    <row r="832" ht="12.75" customHeight="1">
      <c r="J832" s="36"/>
    </row>
    <row r="833" ht="12.75" customHeight="1">
      <c r="J833" s="36"/>
    </row>
    <row r="834" ht="12.75" customHeight="1">
      <c r="J834" s="36"/>
    </row>
    <row r="835" ht="12.75" customHeight="1">
      <c r="J835" s="36"/>
    </row>
    <row r="836" ht="12.75" customHeight="1">
      <c r="J836" s="36"/>
    </row>
    <row r="837" ht="12.75" customHeight="1">
      <c r="J837" s="36"/>
    </row>
    <row r="838" ht="12.75" customHeight="1">
      <c r="J838" s="36"/>
    </row>
    <row r="839" ht="12.75" customHeight="1">
      <c r="J839" s="36"/>
    </row>
    <row r="840" ht="12.75" customHeight="1">
      <c r="J840" s="36"/>
    </row>
    <row r="841" ht="12.75" customHeight="1">
      <c r="J841" s="36"/>
    </row>
    <row r="842" ht="12.75" customHeight="1">
      <c r="J842" s="36"/>
    </row>
    <row r="843" ht="12.75" customHeight="1">
      <c r="J843" s="36"/>
    </row>
    <row r="844" ht="12.75" customHeight="1">
      <c r="J844" s="36"/>
    </row>
    <row r="845" ht="12.75" customHeight="1">
      <c r="J845" s="36"/>
    </row>
    <row r="846" ht="12.75" customHeight="1">
      <c r="J846" s="36"/>
    </row>
    <row r="847" ht="12.75" customHeight="1">
      <c r="J847" s="36"/>
    </row>
    <row r="848" ht="12.75" customHeight="1">
      <c r="J848" s="36"/>
    </row>
    <row r="849" ht="12.75" customHeight="1">
      <c r="J849" s="36"/>
    </row>
    <row r="850" ht="12.75" customHeight="1">
      <c r="J850" s="36"/>
    </row>
    <row r="851" ht="12.75" customHeight="1">
      <c r="J851" s="36"/>
    </row>
    <row r="852" ht="12.75" customHeight="1">
      <c r="J852" s="36"/>
    </row>
    <row r="853" ht="12.75" customHeight="1">
      <c r="J853" s="36"/>
    </row>
    <row r="854" ht="12.75" customHeight="1">
      <c r="J854" s="36"/>
    </row>
    <row r="855" ht="12.75" customHeight="1">
      <c r="J855" s="36"/>
    </row>
    <row r="856" ht="12.75" customHeight="1">
      <c r="J856" s="36"/>
    </row>
    <row r="857" ht="12.75" customHeight="1">
      <c r="J857" s="36"/>
    </row>
    <row r="858" ht="12.75" customHeight="1">
      <c r="J858" s="36"/>
    </row>
    <row r="859" ht="12.75" customHeight="1">
      <c r="J859" s="36"/>
    </row>
    <row r="860" ht="12.75" customHeight="1">
      <c r="J860" s="36"/>
    </row>
    <row r="861" ht="12.75" customHeight="1">
      <c r="J861" s="36"/>
    </row>
    <row r="862" ht="12.75" customHeight="1">
      <c r="J862" s="36"/>
    </row>
    <row r="863" ht="12.75" customHeight="1">
      <c r="J863" s="36"/>
    </row>
    <row r="864" ht="12.75" customHeight="1">
      <c r="J864" s="36"/>
    </row>
    <row r="865" ht="12.75" customHeight="1">
      <c r="J865" s="36"/>
    </row>
    <row r="866" ht="12.75" customHeight="1">
      <c r="J866" s="36"/>
    </row>
    <row r="867" ht="12.75" customHeight="1">
      <c r="J867" s="36"/>
    </row>
    <row r="868" ht="12.75" customHeight="1">
      <c r="J868" s="36"/>
    </row>
    <row r="869" ht="12.75" customHeight="1">
      <c r="J869" s="36"/>
    </row>
    <row r="870" ht="12.75" customHeight="1">
      <c r="J870" s="36"/>
    </row>
    <row r="871" ht="12.75" customHeight="1">
      <c r="J871" s="36"/>
    </row>
    <row r="872" ht="12.75" customHeight="1">
      <c r="J872" s="36"/>
    </row>
    <row r="873" ht="12.75" customHeight="1">
      <c r="J873" s="36"/>
    </row>
    <row r="874" ht="12.75" customHeight="1">
      <c r="J874" s="36"/>
    </row>
    <row r="875" ht="12.75" customHeight="1">
      <c r="J875" s="36"/>
    </row>
    <row r="876" ht="12.75" customHeight="1">
      <c r="J876" s="36"/>
    </row>
    <row r="877" ht="12.75" customHeight="1">
      <c r="J877" s="36"/>
    </row>
    <row r="878" ht="12.75" customHeight="1">
      <c r="J878" s="36"/>
    </row>
    <row r="879" ht="12.75" customHeight="1">
      <c r="J879" s="36"/>
    </row>
    <row r="880" ht="12.75" customHeight="1">
      <c r="J880" s="36"/>
    </row>
    <row r="881" ht="12.75" customHeight="1">
      <c r="J881" s="36"/>
    </row>
    <row r="882" ht="12.75" customHeight="1">
      <c r="J882" s="36"/>
    </row>
    <row r="883" ht="12.75" customHeight="1">
      <c r="J883" s="36"/>
    </row>
    <row r="884" ht="12.75" customHeight="1">
      <c r="J884" s="36"/>
    </row>
    <row r="885" ht="12.75" customHeight="1">
      <c r="J885" s="36"/>
    </row>
    <row r="886" ht="12.75" customHeight="1">
      <c r="J886" s="36"/>
    </row>
    <row r="887" ht="12.75" customHeight="1">
      <c r="J887" s="36"/>
    </row>
    <row r="888" ht="12.75" customHeight="1">
      <c r="J888" s="36"/>
    </row>
    <row r="889" ht="12.75" customHeight="1">
      <c r="J889" s="36"/>
    </row>
    <row r="890" ht="12.75" customHeight="1">
      <c r="J890" s="36"/>
    </row>
    <row r="891" ht="12.75" customHeight="1">
      <c r="J891" s="36"/>
    </row>
    <row r="892" ht="12.75" customHeight="1">
      <c r="J892" s="36"/>
    </row>
    <row r="893" ht="12.75" customHeight="1">
      <c r="J893" s="36"/>
    </row>
    <row r="894" ht="12.75" customHeight="1">
      <c r="J894" s="36"/>
    </row>
    <row r="895" ht="12.75" customHeight="1">
      <c r="J895" s="36"/>
    </row>
    <row r="896" ht="12.75" customHeight="1">
      <c r="J896" s="36"/>
    </row>
    <row r="897" ht="12.75" customHeight="1">
      <c r="J897" s="36"/>
    </row>
    <row r="898" ht="12.75" customHeight="1">
      <c r="J898" s="36"/>
    </row>
    <row r="899" ht="12.75" customHeight="1">
      <c r="J899" s="36"/>
    </row>
    <row r="900" ht="12.75" customHeight="1">
      <c r="J900" s="36"/>
    </row>
    <row r="901" ht="12.75" customHeight="1">
      <c r="J901" s="36"/>
    </row>
    <row r="902" ht="12.75" customHeight="1">
      <c r="J902" s="36"/>
    </row>
    <row r="903" ht="12.75" customHeight="1">
      <c r="J903" s="36"/>
    </row>
    <row r="904" ht="12.75" customHeight="1">
      <c r="J904" s="36"/>
    </row>
    <row r="905" ht="12.75" customHeight="1">
      <c r="J905" s="36"/>
    </row>
    <row r="906" ht="12.75" customHeight="1">
      <c r="J906" s="36"/>
    </row>
    <row r="907" ht="12.75" customHeight="1">
      <c r="J907" s="36"/>
    </row>
    <row r="908" ht="12.75" customHeight="1">
      <c r="J908" s="36"/>
    </row>
    <row r="909" ht="12.75" customHeight="1">
      <c r="J909" s="36"/>
    </row>
    <row r="910" ht="12.75" customHeight="1">
      <c r="J910" s="36"/>
    </row>
    <row r="911" ht="12.75" customHeight="1">
      <c r="J911" s="36"/>
    </row>
    <row r="912" ht="12.75" customHeight="1">
      <c r="J912" s="36"/>
    </row>
    <row r="913" ht="12.75" customHeight="1">
      <c r="J913" s="36"/>
    </row>
    <row r="914" ht="12.75" customHeight="1">
      <c r="J914" s="36"/>
    </row>
    <row r="915" ht="12.75" customHeight="1">
      <c r="J915" s="36"/>
    </row>
    <row r="916" ht="12.75" customHeight="1">
      <c r="J916" s="36"/>
    </row>
    <row r="917" ht="12.75" customHeight="1">
      <c r="J917" s="36"/>
    </row>
    <row r="918" ht="12.75" customHeight="1">
      <c r="J918" s="36"/>
    </row>
    <row r="919" ht="12.75" customHeight="1">
      <c r="J919" s="36"/>
    </row>
    <row r="920" ht="12.75" customHeight="1">
      <c r="J920" s="36"/>
    </row>
    <row r="921" ht="12.75" customHeight="1">
      <c r="J921" s="36"/>
    </row>
    <row r="922" ht="12.75" customHeight="1">
      <c r="J922" s="36"/>
    </row>
    <row r="923" ht="12.75" customHeight="1">
      <c r="J923" s="36"/>
    </row>
    <row r="924" ht="12.75" customHeight="1">
      <c r="J924" s="36"/>
    </row>
    <row r="925" ht="12.75" customHeight="1">
      <c r="J925" s="36"/>
    </row>
    <row r="926" ht="12.75" customHeight="1">
      <c r="J926" s="36"/>
    </row>
    <row r="927" ht="12.75" customHeight="1">
      <c r="J927" s="36"/>
    </row>
    <row r="928" ht="12.75" customHeight="1">
      <c r="J928" s="36"/>
    </row>
    <row r="929" ht="12.75" customHeight="1">
      <c r="J929" s="36"/>
    </row>
    <row r="930" ht="12.75" customHeight="1">
      <c r="J930" s="36"/>
    </row>
    <row r="931" ht="12.75" customHeight="1">
      <c r="J931" s="36"/>
    </row>
    <row r="932" ht="12.75" customHeight="1">
      <c r="J932" s="36"/>
    </row>
    <row r="933" ht="12.75" customHeight="1">
      <c r="J933" s="36"/>
    </row>
    <row r="934" ht="12.75" customHeight="1">
      <c r="J934" s="36"/>
    </row>
    <row r="935" ht="12.75" customHeight="1">
      <c r="J935" s="36"/>
    </row>
    <row r="936" ht="12.75" customHeight="1">
      <c r="J936" s="36"/>
    </row>
    <row r="937" ht="12.75" customHeight="1">
      <c r="J937" s="36"/>
    </row>
    <row r="938" ht="12.75" customHeight="1">
      <c r="J938" s="36"/>
    </row>
    <row r="939" ht="12.75" customHeight="1">
      <c r="J939" s="36"/>
    </row>
    <row r="940" ht="12.75" customHeight="1">
      <c r="J940" s="36"/>
    </row>
    <row r="941" ht="12.75" customHeight="1">
      <c r="J941" s="36"/>
    </row>
    <row r="942" ht="12.75" customHeight="1">
      <c r="J942" s="36"/>
    </row>
    <row r="943" ht="12.75" customHeight="1">
      <c r="J943" s="36"/>
    </row>
    <row r="944" ht="12.75" customHeight="1">
      <c r="J944" s="36"/>
    </row>
    <row r="945" ht="12.75" customHeight="1">
      <c r="J945" s="36"/>
    </row>
    <row r="946" ht="12.75" customHeight="1">
      <c r="J946" s="36"/>
    </row>
    <row r="947" ht="12.75" customHeight="1">
      <c r="J947" s="36"/>
    </row>
    <row r="948" ht="12.75" customHeight="1">
      <c r="J948" s="36"/>
    </row>
    <row r="949" ht="12.75" customHeight="1">
      <c r="J949" s="36"/>
    </row>
    <row r="950" ht="12.75" customHeight="1">
      <c r="J950" s="36"/>
    </row>
    <row r="951" ht="12.75" customHeight="1">
      <c r="J951" s="36"/>
    </row>
    <row r="952" ht="12.75" customHeight="1">
      <c r="J952" s="36"/>
    </row>
    <row r="953" ht="12.75" customHeight="1">
      <c r="J953" s="36"/>
    </row>
    <row r="954" ht="12.75" customHeight="1">
      <c r="J954" s="36"/>
    </row>
    <row r="955" ht="12.75" customHeight="1">
      <c r="J955" s="36"/>
    </row>
    <row r="956" ht="12.75" customHeight="1">
      <c r="J956" s="36"/>
    </row>
    <row r="957" ht="12.75" customHeight="1">
      <c r="J957" s="36"/>
    </row>
    <row r="958" ht="12.75" customHeight="1">
      <c r="J958" s="36"/>
    </row>
    <row r="959" ht="12.75" customHeight="1">
      <c r="J959" s="36"/>
    </row>
    <row r="960" ht="12.75" customHeight="1">
      <c r="J960" s="36"/>
    </row>
    <row r="961" ht="12.75" customHeight="1">
      <c r="J961" s="36"/>
    </row>
    <row r="962" ht="12.75" customHeight="1">
      <c r="J962" s="36"/>
    </row>
    <row r="963" ht="12.75" customHeight="1">
      <c r="J963" s="36"/>
    </row>
    <row r="964" ht="12.75" customHeight="1">
      <c r="J964" s="36"/>
    </row>
    <row r="965" ht="12.75" customHeight="1">
      <c r="J965" s="36"/>
    </row>
    <row r="966" ht="12.75" customHeight="1">
      <c r="J966" s="36"/>
    </row>
    <row r="967" ht="12.75" customHeight="1">
      <c r="J967" s="36"/>
    </row>
    <row r="968" ht="12.75" customHeight="1">
      <c r="J968" s="36"/>
    </row>
    <row r="969" ht="12.75" customHeight="1">
      <c r="J969" s="36"/>
    </row>
    <row r="970" ht="12.75" customHeight="1">
      <c r="J970" s="36"/>
    </row>
    <row r="971" ht="12.75" customHeight="1">
      <c r="J971" s="36"/>
    </row>
    <row r="972" ht="12.75" customHeight="1">
      <c r="J972" s="36"/>
    </row>
    <row r="973" ht="12.75" customHeight="1">
      <c r="J973" s="36"/>
    </row>
    <row r="974" ht="12.75" customHeight="1">
      <c r="J974" s="36"/>
    </row>
    <row r="975" ht="12.75" customHeight="1">
      <c r="J975" s="36"/>
    </row>
    <row r="976" ht="12.75" customHeight="1">
      <c r="J976" s="36"/>
    </row>
    <row r="977" ht="12.75" customHeight="1">
      <c r="J977" s="36"/>
    </row>
    <row r="978" ht="12.75" customHeight="1">
      <c r="J978" s="36"/>
    </row>
    <row r="979" ht="12.75" customHeight="1">
      <c r="J979" s="36"/>
    </row>
    <row r="980" ht="12.75" customHeight="1">
      <c r="J980" s="36"/>
    </row>
    <row r="981" ht="12.75" customHeight="1">
      <c r="J981" s="36"/>
    </row>
    <row r="982" ht="12.75" customHeight="1">
      <c r="J982" s="36"/>
    </row>
    <row r="983" ht="12.75" customHeight="1">
      <c r="J983" s="36"/>
    </row>
    <row r="984" ht="12.75" customHeight="1">
      <c r="J984" s="36"/>
    </row>
    <row r="985" ht="12.75" customHeight="1">
      <c r="J985" s="36"/>
    </row>
    <row r="986" ht="12.75" customHeight="1">
      <c r="J986" s="36"/>
    </row>
    <row r="987" ht="12.75" customHeight="1">
      <c r="J987" s="36"/>
    </row>
    <row r="988" ht="12.75" customHeight="1">
      <c r="J988" s="36"/>
    </row>
    <row r="989" ht="12.75" customHeight="1">
      <c r="J989" s="36"/>
    </row>
    <row r="990" ht="12.75" customHeight="1">
      <c r="J990" s="36"/>
    </row>
    <row r="991" ht="12.75" customHeight="1">
      <c r="J991" s="36"/>
    </row>
    <row r="992" ht="12.75" customHeight="1">
      <c r="J992" s="36"/>
    </row>
    <row r="993" ht="12.75" customHeight="1">
      <c r="J993" s="36"/>
    </row>
    <row r="994" ht="12.75" customHeight="1">
      <c r="J994" s="36"/>
    </row>
    <row r="995" ht="12.75" customHeight="1">
      <c r="J995" s="36"/>
    </row>
    <row r="996" ht="12.75" customHeight="1">
      <c r="J996" s="36"/>
    </row>
    <row r="997" ht="12.75" customHeight="1">
      <c r="J997" s="36"/>
    </row>
    <row r="998" ht="12.75" customHeight="1">
      <c r="J998" s="36"/>
    </row>
    <row r="999" ht="12.75" customHeight="1">
      <c r="J999" s="36"/>
    </row>
    <row r="1000" ht="12.75" customHeight="1">
      <c r="J1000" s="36"/>
    </row>
  </sheetData>
  <mergeCells count="29">
    <mergeCell ref="B1:I1"/>
    <mergeCell ref="F2:H2"/>
    <mergeCell ref="B3:D3"/>
    <mergeCell ref="F3:H3"/>
    <mergeCell ref="K3:M4"/>
    <mergeCell ref="B4:D4"/>
    <mergeCell ref="B5:D6"/>
    <mergeCell ref="F5:F6"/>
    <mergeCell ref="H5:I6"/>
    <mergeCell ref="F7:F11"/>
    <mergeCell ref="K12:L12"/>
    <mergeCell ref="F13:F16"/>
    <mergeCell ref="F18:F21"/>
    <mergeCell ref="J24:AB24"/>
    <mergeCell ref="B58:C58"/>
    <mergeCell ref="H58:I58"/>
    <mergeCell ref="B59:C59"/>
    <mergeCell ref="H59:I59"/>
    <mergeCell ref="O59:Q59"/>
    <mergeCell ref="B60:C60"/>
    <mergeCell ref="H60:I60"/>
    <mergeCell ref="O60:Q60"/>
    <mergeCell ref="C25:G25"/>
    <mergeCell ref="J25:M25"/>
    <mergeCell ref="O25:R25"/>
    <mergeCell ref="T25:W25"/>
    <mergeCell ref="Y25:AA25"/>
    <mergeCell ref="C40:D40"/>
    <mergeCell ref="C41:D41"/>
  </mergeCells>
  <conditionalFormatting sqref="D8:D19 I8:I19">
    <cfRule type="cellIs" dxfId="0" priority="1" operator="lessThan">
      <formula>$B$4</formula>
    </cfRule>
  </conditionalFormatting>
  <dataValidations>
    <dataValidation type="decimal" allowBlank="1" showErrorMessage="1" sqref="D8">
      <formula1>1000.0</formula1>
      <formula2>100000.0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5.25"/>
    <col customWidth="1" min="3" max="3" width="23.0"/>
    <col customWidth="1" min="4" max="15" width="8.63"/>
    <col customWidth="1" min="16" max="16" width="4.0"/>
    <col customWidth="1" min="17" max="17" width="26.88"/>
    <col customWidth="1" min="18" max="18" width="6.25"/>
    <col customWidth="1" min="19" max="26" width="8.63"/>
  </cols>
  <sheetData>
    <row r="1" ht="12.75" customHeight="1"/>
    <row r="2" ht="30.0" customHeight="1">
      <c r="D2" s="271" t="s">
        <v>97</v>
      </c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08"/>
      <c r="Q2" s="272" t="s">
        <v>98</v>
      </c>
      <c r="S2" s="273" t="s">
        <v>99</v>
      </c>
      <c r="T2" s="79"/>
    </row>
    <row r="3" ht="6.75" customHeight="1">
      <c r="D3" s="274"/>
      <c r="O3" s="165"/>
      <c r="Q3" s="112"/>
      <c r="S3" s="83"/>
      <c r="T3" s="84"/>
    </row>
    <row r="4" ht="12.75" customHeight="1">
      <c r="D4" s="275" t="s">
        <v>68</v>
      </c>
      <c r="E4" s="276" t="s">
        <v>69</v>
      </c>
      <c r="F4" s="276" t="s">
        <v>70</v>
      </c>
      <c r="G4" s="276" t="s">
        <v>71</v>
      </c>
      <c r="H4" s="276" t="s">
        <v>72</v>
      </c>
      <c r="I4" s="276" t="s">
        <v>73</v>
      </c>
      <c r="J4" s="276" t="s">
        <v>75</v>
      </c>
      <c r="K4" s="276" t="s">
        <v>76</v>
      </c>
      <c r="L4" s="276" t="s">
        <v>77</v>
      </c>
      <c r="M4" s="276" t="s">
        <v>100</v>
      </c>
      <c r="N4" s="276" t="s">
        <v>79</v>
      </c>
      <c r="O4" s="277" t="s">
        <v>81</v>
      </c>
      <c r="P4" s="278"/>
      <c r="Q4" s="116"/>
      <c r="S4" s="83"/>
      <c r="T4" s="84"/>
    </row>
    <row r="5" ht="16.5" customHeight="1">
      <c r="B5" s="11" t="s">
        <v>101</v>
      </c>
      <c r="D5" s="274"/>
      <c r="O5" s="165"/>
      <c r="Q5" s="279" t="s">
        <v>102</v>
      </c>
      <c r="S5" s="128"/>
      <c r="T5" s="129"/>
    </row>
    <row r="6" ht="21.75" customHeight="1">
      <c r="C6" s="11" t="s">
        <v>86</v>
      </c>
      <c r="D6" s="280">
        <v>0.64</v>
      </c>
      <c r="E6" s="281">
        <v>0.64</v>
      </c>
      <c r="F6" s="281">
        <v>0.64</v>
      </c>
      <c r="G6" s="281">
        <v>0.64</v>
      </c>
      <c r="H6" s="281">
        <v>0.64</v>
      </c>
      <c r="I6" s="281">
        <v>0.64</v>
      </c>
      <c r="J6" s="281">
        <v>0.64</v>
      </c>
      <c r="K6" s="281">
        <v>0.64</v>
      </c>
      <c r="L6" s="281">
        <v>0.64</v>
      </c>
      <c r="M6" s="281">
        <v>0.64</v>
      </c>
      <c r="N6" s="281">
        <v>0.64</v>
      </c>
      <c r="O6" s="282">
        <v>0.64</v>
      </c>
      <c r="Q6" s="283">
        <f t="shared" ref="Q6:Q9" si="1">SUM(D6:O6)/12</f>
        <v>0.64</v>
      </c>
      <c r="S6" s="284">
        <f>'Sales Goals'!E40</f>
        <v>0.7056141442</v>
      </c>
      <c r="T6" s="285"/>
    </row>
    <row r="7" ht="12.75" customHeight="1">
      <c r="C7" s="11" t="s">
        <v>103</v>
      </c>
      <c r="D7" s="286">
        <v>0.1</v>
      </c>
      <c r="E7" s="287">
        <v>0.09</v>
      </c>
      <c r="F7" s="287">
        <v>0.08</v>
      </c>
      <c r="G7" s="287">
        <v>0.1</v>
      </c>
      <c r="H7" s="287">
        <v>0.13</v>
      </c>
      <c r="I7" s="287">
        <v>0.13</v>
      </c>
      <c r="J7" s="287">
        <v>0.12</v>
      </c>
      <c r="K7" s="287">
        <v>0.11</v>
      </c>
      <c r="L7" s="287">
        <v>0.09</v>
      </c>
      <c r="M7" s="287">
        <v>0.08</v>
      </c>
      <c r="N7" s="287">
        <v>0.11</v>
      </c>
      <c r="O7" s="288">
        <v>0.12</v>
      </c>
      <c r="Q7" s="289">
        <f t="shared" si="1"/>
        <v>0.105</v>
      </c>
      <c r="S7" s="290">
        <f>'Sales Goals'!F40</f>
        <v>0.2692536444</v>
      </c>
      <c r="T7" s="291"/>
    </row>
    <row r="8" ht="12.75" customHeight="1">
      <c r="C8" s="11" t="s">
        <v>104</v>
      </c>
      <c r="D8" s="286">
        <v>0.08</v>
      </c>
      <c r="E8" s="287">
        <v>0.09</v>
      </c>
      <c r="F8" s="287">
        <v>0.1</v>
      </c>
      <c r="G8" s="287">
        <v>0.08</v>
      </c>
      <c r="H8" s="287">
        <v>0.05</v>
      </c>
      <c r="I8" s="287">
        <v>0.05</v>
      </c>
      <c r="J8" s="287">
        <v>0.06</v>
      </c>
      <c r="K8" s="287">
        <v>0.07</v>
      </c>
      <c r="L8" s="287">
        <v>0.09</v>
      </c>
      <c r="M8" s="287">
        <v>0.1</v>
      </c>
      <c r="N8" s="287">
        <v>0.07</v>
      </c>
      <c r="O8" s="288">
        <v>0.06</v>
      </c>
      <c r="Q8" s="289">
        <f t="shared" si="1"/>
        <v>0.075</v>
      </c>
      <c r="S8" s="128"/>
      <c r="T8" s="129"/>
    </row>
    <row r="9" ht="16.5" customHeight="1">
      <c r="C9" s="3" t="s">
        <v>88</v>
      </c>
      <c r="D9" s="292">
        <v>0.18</v>
      </c>
      <c r="E9" s="293">
        <v>0.18</v>
      </c>
      <c r="F9" s="293">
        <v>0.18</v>
      </c>
      <c r="G9" s="293">
        <v>0.18</v>
      </c>
      <c r="H9" s="293">
        <v>0.18</v>
      </c>
      <c r="I9" s="293">
        <v>0.18</v>
      </c>
      <c r="J9" s="293">
        <v>0.18</v>
      </c>
      <c r="K9" s="293">
        <v>0.18</v>
      </c>
      <c r="L9" s="293">
        <v>0.18</v>
      </c>
      <c r="M9" s="293">
        <v>0.18</v>
      </c>
      <c r="N9" s="293">
        <v>0.18</v>
      </c>
      <c r="O9" s="294">
        <v>0.18</v>
      </c>
      <c r="Q9" s="295">
        <f t="shared" si="1"/>
        <v>0.18</v>
      </c>
      <c r="S9" s="296">
        <f>'Sales Goals'!G40</f>
        <v>0.02513221137</v>
      </c>
      <c r="T9" s="81"/>
    </row>
    <row r="10" ht="12.75" customHeight="1">
      <c r="C10" s="3" t="s">
        <v>85</v>
      </c>
      <c r="D10" s="297">
        <f t="shared" ref="D10:O10" si="2">SUM(D6:D9)</f>
        <v>1</v>
      </c>
      <c r="E10" s="298">
        <f t="shared" si="2"/>
        <v>1</v>
      </c>
      <c r="F10" s="298">
        <f t="shared" si="2"/>
        <v>1</v>
      </c>
      <c r="G10" s="298">
        <f t="shared" si="2"/>
        <v>1</v>
      </c>
      <c r="H10" s="298">
        <f t="shared" si="2"/>
        <v>1</v>
      </c>
      <c r="I10" s="298">
        <f t="shared" si="2"/>
        <v>1</v>
      </c>
      <c r="J10" s="298">
        <f t="shared" si="2"/>
        <v>1</v>
      </c>
      <c r="K10" s="298">
        <f t="shared" si="2"/>
        <v>1</v>
      </c>
      <c r="L10" s="298">
        <f t="shared" si="2"/>
        <v>1</v>
      </c>
      <c r="M10" s="298">
        <f t="shared" si="2"/>
        <v>1</v>
      </c>
      <c r="N10" s="298">
        <f t="shared" si="2"/>
        <v>1</v>
      </c>
      <c r="O10" s="299">
        <f t="shared" si="2"/>
        <v>1</v>
      </c>
      <c r="Q10" s="300"/>
    </row>
    <row r="11" ht="12.75" customHeight="1">
      <c r="B11" s="11" t="s">
        <v>105</v>
      </c>
      <c r="D11" s="301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02"/>
      <c r="Q11" s="300"/>
      <c r="S11" s="303" t="s">
        <v>106</v>
      </c>
      <c r="T11" s="79"/>
    </row>
    <row r="12" ht="14.25" customHeight="1">
      <c r="C12" s="11" t="s">
        <v>107</v>
      </c>
      <c r="D12" s="304">
        <v>7000.0</v>
      </c>
      <c r="E12" s="305">
        <v>7500.0</v>
      </c>
      <c r="F12" s="305">
        <v>6000.0</v>
      </c>
      <c r="G12" s="305">
        <v>7500.0</v>
      </c>
      <c r="H12" s="305">
        <v>10000.0</v>
      </c>
      <c r="I12" s="305">
        <v>9000.0</v>
      </c>
      <c r="J12" s="305">
        <v>8500.0</v>
      </c>
      <c r="K12" s="305">
        <v>8500.0</v>
      </c>
      <c r="L12" s="305">
        <v>8500.0</v>
      </c>
      <c r="M12" s="305">
        <v>8500.0</v>
      </c>
      <c r="N12" s="305">
        <v>8500.0</v>
      </c>
      <c r="O12" s="306">
        <v>8500.0</v>
      </c>
      <c r="Q12" s="307">
        <f t="shared" ref="Q12:Q13" si="3">SUM(D12:O12)/12</f>
        <v>8166.666667</v>
      </c>
      <c r="S12" s="83"/>
      <c r="T12" s="84"/>
    </row>
    <row r="13" ht="12.75" customHeight="1">
      <c r="C13" s="3" t="s">
        <v>108</v>
      </c>
      <c r="D13" s="292">
        <v>0.5</v>
      </c>
      <c r="E13" s="293">
        <v>0.5</v>
      </c>
      <c r="F13" s="293">
        <v>0.5</v>
      </c>
      <c r="G13" s="293">
        <v>0.5</v>
      </c>
      <c r="H13" s="293">
        <v>0.5</v>
      </c>
      <c r="I13" s="293">
        <v>0.5</v>
      </c>
      <c r="J13" s="293">
        <v>0.5</v>
      </c>
      <c r="K13" s="293">
        <v>0.5</v>
      </c>
      <c r="L13" s="293">
        <v>0.5</v>
      </c>
      <c r="M13" s="293">
        <v>0.5</v>
      </c>
      <c r="N13" s="293">
        <v>0.5</v>
      </c>
      <c r="O13" s="294">
        <v>0.5</v>
      </c>
      <c r="Q13" s="295">
        <f t="shared" si="3"/>
        <v>0.5</v>
      </c>
      <c r="S13" s="83"/>
      <c r="T13" s="84"/>
    </row>
    <row r="14" ht="12.75" customHeight="1">
      <c r="D14" s="301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02"/>
      <c r="Q14" s="300"/>
      <c r="S14" s="86"/>
      <c r="T14" s="87"/>
    </row>
    <row r="15" ht="12.75" customHeight="1">
      <c r="B15" s="11" t="s">
        <v>103</v>
      </c>
      <c r="D15" s="301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02"/>
      <c r="Q15" s="300"/>
    </row>
    <row r="16" ht="12.75" customHeight="1">
      <c r="C16" s="11" t="s">
        <v>107</v>
      </c>
      <c r="D16" s="304">
        <v>325.0</v>
      </c>
      <c r="E16" s="305">
        <v>375.0</v>
      </c>
      <c r="F16" s="305">
        <v>375.0</v>
      </c>
      <c r="G16" s="305">
        <v>400.0</v>
      </c>
      <c r="H16" s="305">
        <v>450.0</v>
      </c>
      <c r="I16" s="305">
        <v>450.0</v>
      </c>
      <c r="J16" s="305">
        <v>425.0</v>
      </c>
      <c r="K16" s="305">
        <v>375.0</v>
      </c>
      <c r="L16" s="305">
        <v>350.0</v>
      </c>
      <c r="M16" s="305">
        <v>325.0</v>
      </c>
      <c r="N16" s="305">
        <v>400.0</v>
      </c>
      <c r="O16" s="306">
        <v>400.0</v>
      </c>
      <c r="Q16" s="307">
        <f t="shared" ref="Q16:Q17" si="4">SUM(D16:O16)/12</f>
        <v>387.5</v>
      </c>
    </row>
    <row r="17" ht="12.75" customHeight="1">
      <c r="C17" s="11" t="s">
        <v>109</v>
      </c>
      <c r="D17" s="292">
        <v>1.0</v>
      </c>
      <c r="E17" s="293">
        <v>1.0</v>
      </c>
      <c r="F17" s="293">
        <v>1.0</v>
      </c>
      <c r="G17" s="293">
        <v>1.0</v>
      </c>
      <c r="H17" s="293">
        <v>1.0</v>
      </c>
      <c r="I17" s="293">
        <v>1.0</v>
      </c>
      <c r="J17" s="293">
        <v>1.0</v>
      </c>
      <c r="K17" s="293">
        <v>1.0</v>
      </c>
      <c r="L17" s="293">
        <v>1.0</v>
      </c>
      <c r="M17" s="293">
        <v>1.0</v>
      </c>
      <c r="N17" s="293">
        <v>1.0</v>
      </c>
      <c r="O17" s="294">
        <v>1.0</v>
      </c>
      <c r="Q17" s="295">
        <f t="shared" si="4"/>
        <v>1</v>
      </c>
    </row>
    <row r="18" ht="12.75" customHeight="1">
      <c r="D18" s="301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02"/>
      <c r="Q18" s="300"/>
    </row>
    <row r="19" ht="12.75" customHeight="1">
      <c r="B19" s="11" t="s">
        <v>110</v>
      </c>
      <c r="D19" s="301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02"/>
      <c r="Q19" s="300"/>
    </row>
    <row r="20" ht="12.75" customHeight="1">
      <c r="C20" s="11" t="s">
        <v>107</v>
      </c>
      <c r="D20" s="304">
        <v>125.0</v>
      </c>
      <c r="E20" s="305">
        <v>125.0</v>
      </c>
      <c r="F20" s="305">
        <v>150.0</v>
      </c>
      <c r="G20" s="305">
        <v>150.0</v>
      </c>
      <c r="H20" s="305">
        <v>200.0</v>
      </c>
      <c r="I20" s="305">
        <v>200.0</v>
      </c>
      <c r="J20" s="305">
        <v>200.0</v>
      </c>
      <c r="K20" s="305">
        <v>175.0</v>
      </c>
      <c r="L20" s="305">
        <v>125.0</v>
      </c>
      <c r="M20" s="305">
        <v>125.0</v>
      </c>
      <c r="N20" s="305">
        <v>150.0</v>
      </c>
      <c r="O20" s="306">
        <v>150.0</v>
      </c>
      <c r="Q20" s="307">
        <f t="shared" ref="Q20:Q21" si="5">SUM(D20:O20)/12</f>
        <v>156.25</v>
      </c>
    </row>
    <row r="21" ht="12.75" customHeight="1">
      <c r="C21" s="11" t="s">
        <v>109</v>
      </c>
      <c r="D21" s="292">
        <v>1.0</v>
      </c>
      <c r="E21" s="293">
        <v>1.0</v>
      </c>
      <c r="F21" s="293">
        <v>1.0</v>
      </c>
      <c r="G21" s="293">
        <v>1.0</v>
      </c>
      <c r="H21" s="293">
        <v>1.0</v>
      </c>
      <c r="I21" s="293">
        <v>1.0</v>
      </c>
      <c r="J21" s="293">
        <v>1.0</v>
      </c>
      <c r="K21" s="293">
        <v>1.0</v>
      </c>
      <c r="L21" s="293">
        <v>1.0</v>
      </c>
      <c r="M21" s="293">
        <v>1.0</v>
      </c>
      <c r="N21" s="293">
        <v>1.0</v>
      </c>
      <c r="O21" s="294">
        <v>1.0</v>
      </c>
      <c r="Q21" s="295">
        <f t="shared" si="5"/>
        <v>1</v>
      </c>
    </row>
    <row r="22" ht="12.75" customHeight="1">
      <c r="D22" s="274"/>
      <c r="O22" s="165"/>
      <c r="Q22" s="300"/>
    </row>
    <row r="23" ht="12.75" customHeight="1">
      <c r="B23" s="3" t="s">
        <v>88</v>
      </c>
      <c r="D23" s="274"/>
      <c r="O23" s="165"/>
      <c r="Q23" s="300"/>
    </row>
    <row r="24" ht="12.75" customHeight="1">
      <c r="C24" s="11" t="s">
        <v>107</v>
      </c>
      <c r="D24" s="304">
        <v>750.0</v>
      </c>
      <c r="E24" s="305">
        <v>750.0</v>
      </c>
      <c r="F24" s="305">
        <v>750.0</v>
      </c>
      <c r="G24" s="305">
        <v>750.0</v>
      </c>
      <c r="H24" s="305">
        <v>750.0</v>
      </c>
      <c r="I24" s="305">
        <v>750.0</v>
      </c>
      <c r="J24" s="305">
        <v>750.0</v>
      </c>
      <c r="K24" s="305">
        <v>750.0</v>
      </c>
      <c r="L24" s="305">
        <v>750.0</v>
      </c>
      <c r="M24" s="305">
        <v>750.0</v>
      </c>
      <c r="N24" s="305">
        <v>750.0</v>
      </c>
      <c r="O24" s="306">
        <v>750.0</v>
      </c>
      <c r="Q24" s="307">
        <f t="shared" ref="Q24:Q25" si="6">SUM(D24:O24)/12</f>
        <v>750</v>
      </c>
    </row>
    <row r="25" ht="12.75" customHeight="1">
      <c r="C25" s="11" t="s">
        <v>109</v>
      </c>
      <c r="D25" s="292">
        <v>1.0</v>
      </c>
      <c r="E25" s="293">
        <v>1.0</v>
      </c>
      <c r="F25" s="293">
        <v>1.0</v>
      </c>
      <c r="G25" s="293">
        <v>1.0</v>
      </c>
      <c r="H25" s="293">
        <v>1.0</v>
      </c>
      <c r="I25" s="293">
        <v>1.0</v>
      </c>
      <c r="J25" s="293">
        <v>1.0</v>
      </c>
      <c r="K25" s="293">
        <v>1.0</v>
      </c>
      <c r="L25" s="293">
        <v>1.0</v>
      </c>
      <c r="M25" s="293">
        <v>1.0</v>
      </c>
      <c r="N25" s="293">
        <v>1.0</v>
      </c>
      <c r="O25" s="294">
        <v>1.0</v>
      </c>
      <c r="Q25" s="295">
        <f t="shared" si="6"/>
        <v>1</v>
      </c>
    </row>
    <row r="26" ht="12.75" customHeight="1"/>
    <row r="27" ht="12.75" customHeight="1">
      <c r="Q27" s="298"/>
    </row>
    <row r="28" ht="12.75" customHeight="1">
      <c r="B28" s="308" t="s">
        <v>111</v>
      </c>
      <c r="Q28" s="298"/>
    </row>
    <row r="29" ht="12.75" customHeight="1">
      <c r="C29" s="3" t="s">
        <v>112</v>
      </c>
      <c r="E29" s="3" t="s">
        <v>113</v>
      </c>
      <c r="G29" s="3" t="s">
        <v>114</v>
      </c>
    </row>
    <row r="30" ht="12.75" customHeight="1">
      <c r="C30" s="36" t="s">
        <v>115</v>
      </c>
      <c r="D30" s="309">
        <v>2.5</v>
      </c>
      <c r="E30" s="309">
        <v>22.0</v>
      </c>
      <c r="G30" s="11">
        <f t="shared" ref="G30:G34" si="7">D30*E30</f>
        <v>55</v>
      </c>
    </row>
    <row r="31" ht="12.75" customHeight="1">
      <c r="C31" s="36" t="s">
        <v>103</v>
      </c>
      <c r="D31" s="309">
        <v>3.0</v>
      </c>
      <c r="E31" s="309">
        <v>22.0</v>
      </c>
      <c r="G31" s="11">
        <f t="shared" si="7"/>
        <v>66</v>
      </c>
    </row>
    <row r="32" ht="12.75" customHeight="1">
      <c r="C32" s="36" t="s">
        <v>116</v>
      </c>
      <c r="D32" s="309">
        <v>4.25</v>
      </c>
      <c r="E32" s="309">
        <v>22.0</v>
      </c>
      <c r="G32" s="11">
        <f t="shared" si="7"/>
        <v>93.5</v>
      </c>
    </row>
    <row r="33" ht="12.75" customHeight="1">
      <c r="C33" s="36" t="s">
        <v>88</v>
      </c>
      <c r="D33" s="309"/>
      <c r="E33" s="309">
        <v>22.0</v>
      </c>
      <c r="G33" s="11">
        <f t="shared" si="7"/>
        <v>0</v>
      </c>
    </row>
    <row r="34" ht="12.75" customHeight="1">
      <c r="C34" s="36" t="s">
        <v>86</v>
      </c>
      <c r="D34" s="309">
        <v>1.0</v>
      </c>
      <c r="E34" s="309">
        <v>22.0</v>
      </c>
      <c r="G34" s="11">
        <f t="shared" si="7"/>
        <v>22</v>
      </c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D2:O2"/>
    <mergeCell ref="Q2:Q4"/>
    <mergeCell ref="S2:T5"/>
    <mergeCell ref="S6:T6"/>
    <mergeCell ref="S7:T8"/>
    <mergeCell ref="S9:T9"/>
    <mergeCell ref="S11:T14"/>
    <mergeCell ref="B28:H28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9.63"/>
    <col customWidth="1" min="2" max="2" width="20.13"/>
    <col customWidth="1" min="3" max="3" width="15.0"/>
    <col customWidth="1" min="4" max="4" width="17.88"/>
    <col customWidth="1" min="5" max="5" width="18.63"/>
    <col customWidth="1" min="6" max="6" width="15.25"/>
    <col customWidth="1" min="7" max="7" width="14.63"/>
    <col customWidth="1" min="8" max="8" width="20.38"/>
    <col customWidth="1" min="9" max="9" width="13.38"/>
    <col customWidth="1" min="10" max="10" width="17.75"/>
    <col customWidth="1" min="11" max="11" width="16.25"/>
    <col customWidth="1" min="12" max="13" width="17.88"/>
    <col customWidth="1" min="14" max="26" width="8.63"/>
  </cols>
  <sheetData>
    <row r="1" ht="12.75" customHeight="1">
      <c r="A1" s="310" t="s">
        <v>117</v>
      </c>
      <c r="J1" s="311" t="s">
        <v>118</v>
      </c>
      <c r="K1" s="167"/>
      <c r="L1" s="167"/>
      <c r="M1" s="79"/>
    </row>
    <row r="2" ht="21.0" customHeight="1">
      <c r="D2" s="312" t="s">
        <v>119</v>
      </c>
      <c r="E2" s="167"/>
      <c r="F2" s="313">
        <f>'Input Data'!D12</f>
        <v>7000</v>
      </c>
      <c r="G2" s="314"/>
      <c r="H2" s="315" t="s">
        <v>120</v>
      </c>
      <c r="J2" s="316" t="s">
        <v>115</v>
      </c>
      <c r="K2" s="317" t="s">
        <v>87</v>
      </c>
      <c r="L2" s="317" t="s">
        <v>88</v>
      </c>
      <c r="M2" s="318" t="s">
        <v>86</v>
      </c>
    </row>
    <row r="3" ht="12.75" customHeight="1">
      <c r="A3" s="319" t="s">
        <v>121</v>
      </c>
      <c r="B3" s="320">
        <f>'Sales Goals'!I8</f>
        <v>135689.9502</v>
      </c>
      <c r="D3" s="321" t="s">
        <v>122</v>
      </c>
      <c r="E3" s="172"/>
      <c r="F3" s="322">
        <f>B3*B9</f>
        <v>86841.5681</v>
      </c>
      <c r="G3" s="323" t="s">
        <v>123</v>
      </c>
      <c r="H3" s="324">
        <f>'Input Data'!D13</f>
        <v>0.5</v>
      </c>
      <c r="I3" s="3"/>
      <c r="J3" s="325"/>
      <c r="K3" s="326"/>
      <c r="L3" s="326"/>
      <c r="M3" s="327"/>
    </row>
    <row r="4" ht="16.5" customHeight="1">
      <c r="B4" s="36"/>
      <c r="D4" s="328" t="s">
        <v>124</v>
      </c>
      <c r="E4" s="108"/>
      <c r="F4" s="329">
        <f>F3/F2</f>
        <v>12.4059383</v>
      </c>
      <c r="G4" s="330"/>
      <c r="H4" s="331">
        <f>F4/H3</f>
        <v>24.8118766</v>
      </c>
      <c r="I4" s="3"/>
      <c r="J4" s="325">
        <f>H4/'Input Data'!G30</f>
        <v>0.4511250291</v>
      </c>
      <c r="K4" s="326"/>
      <c r="L4" s="326"/>
      <c r="M4" s="327">
        <f>F4/'Input Data'!G34</f>
        <v>0.5639062864</v>
      </c>
    </row>
    <row r="5" ht="12.75" customHeight="1">
      <c r="A5" s="332" t="s">
        <v>125</v>
      </c>
      <c r="B5" s="320">
        <f>((B3/31)*7)/'Break-even'!C25</f>
        <v>6127.933233</v>
      </c>
      <c r="F5" s="36"/>
      <c r="G5" s="36"/>
      <c r="H5" s="36"/>
      <c r="J5" s="325"/>
      <c r="K5" s="326"/>
      <c r="L5" s="326"/>
      <c r="M5" s="327"/>
    </row>
    <row r="6" ht="12.75" customHeight="1">
      <c r="B6" s="36"/>
      <c r="D6" s="312" t="s">
        <v>126</v>
      </c>
      <c r="E6" s="167"/>
      <c r="F6" s="313">
        <f>'Input Data'!D16</f>
        <v>325</v>
      </c>
      <c r="G6" s="314"/>
      <c r="H6" s="333" t="s">
        <v>127</v>
      </c>
      <c r="J6" s="334"/>
      <c r="K6" s="326"/>
      <c r="L6" s="326"/>
      <c r="M6" s="327"/>
    </row>
    <row r="7" ht="12.75" customHeight="1">
      <c r="A7" s="335" t="s">
        <v>35</v>
      </c>
      <c r="B7" s="320">
        <f>Budget!C36</f>
        <v>4885.054388</v>
      </c>
      <c r="D7" s="321" t="s">
        <v>128</v>
      </c>
      <c r="E7" s="172"/>
      <c r="F7" s="322">
        <f>B3*B11</f>
        <v>13568.99502</v>
      </c>
      <c r="G7" s="323" t="s">
        <v>123</v>
      </c>
      <c r="H7" s="324">
        <f>'Input Data'!D17</f>
        <v>1</v>
      </c>
      <c r="J7" s="325"/>
      <c r="K7" s="336"/>
      <c r="L7" s="326"/>
      <c r="M7" s="327"/>
    </row>
    <row r="8" ht="12.75" customHeight="1">
      <c r="B8" s="36"/>
      <c r="D8" s="328" t="s">
        <v>129</v>
      </c>
      <c r="E8" s="108"/>
      <c r="F8" s="337">
        <f>F7/F6</f>
        <v>41.7507539</v>
      </c>
      <c r="G8" s="330"/>
      <c r="H8" s="338">
        <f> F8/H7</f>
        <v>41.7507539</v>
      </c>
      <c r="J8" s="325"/>
      <c r="K8" s="326">
        <f>H8/'Input Data'!G31</f>
        <v>0.6325871802</v>
      </c>
      <c r="L8" s="326"/>
      <c r="M8" s="327"/>
    </row>
    <row r="9" ht="12.75" customHeight="1">
      <c r="A9" s="339" t="s">
        <v>130</v>
      </c>
      <c r="B9" s="340">
        <f>'Input Data'!D6</f>
        <v>0.64</v>
      </c>
      <c r="F9" s="36"/>
      <c r="G9" s="36"/>
      <c r="H9" s="36"/>
      <c r="J9" s="325"/>
      <c r="K9" s="326"/>
      <c r="L9" s="326"/>
      <c r="M9" s="327"/>
    </row>
    <row r="10" ht="12.75" customHeight="1">
      <c r="B10" s="36"/>
      <c r="D10" s="312" t="s">
        <v>131</v>
      </c>
      <c r="E10" s="167"/>
      <c r="F10" s="313">
        <f>'Input Data'!D20</f>
        <v>125</v>
      </c>
      <c r="G10" s="314"/>
      <c r="H10" s="333" t="s">
        <v>127</v>
      </c>
      <c r="J10" s="325"/>
      <c r="K10" s="326"/>
      <c r="L10" s="326"/>
      <c r="M10" s="327"/>
    </row>
    <row r="11" ht="12.75" customHeight="1">
      <c r="A11" s="339" t="s">
        <v>132</v>
      </c>
      <c r="B11" s="340">
        <f>'Input Data'!D7</f>
        <v>0.1</v>
      </c>
      <c r="D11" s="321" t="s">
        <v>133</v>
      </c>
      <c r="E11" s="172"/>
      <c r="F11" s="341">
        <f>B3*B13</f>
        <v>10855.19601</v>
      </c>
      <c r="G11" s="323" t="s">
        <v>123</v>
      </c>
      <c r="H11" s="324">
        <f>'Input Data'!D21</f>
        <v>1</v>
      </c>
      <c r="J11" s="325"/>
      <c r="K11" s="326"/>
      <c r="L11" s="326"/>
      <c r="M11" s="327"/>
    </row>
    <row r="12" ht="12.75" customHeight="1">
      <c r="A12" s="278"/>
      <c r="B12" s="342"/>
      <c r="D12" s="328" t="s">
        <v>134</v>
      </c>
      <c r="E12" s="169"/>
      <c r="F12" s="343">
        <f>F11/F10</f>
        <v>86.8415681</v>
      </c>
      <c r="G12" s="344"/>
      <c r="H12" s="338">
        <f> F12/H11</f>
        <v>86.8415681</v>
      </c>
      <c r="J12" s="325"/>
      <c r="K12" s="326">
        <f>H12/'Input Data'!G32</f>
        <v>0.9287868246</v>
      </c>
      <c r="L12" s="326"/>
      <c r="M12" s="327"/>
    </row>
    <row r="13" ht="12.75" customHeight="1">
      <c r="A13" s="328" t="s">
        <v>135</v>
      </c>
      <c r="B13" s="340">
        <f>'Input Data'!D8</f>
        <v>0.08</v>
      </c>
      <c r="J13" s="325"/>
      <c r="K13" s="326"/>
      <c r="L13" s="326"/>
      <c r="M13" s="327"/>
    </row>
    <row r="14" ht="12.75" customHeight="1">
      <c r="D14" s="312" t="s">
        <v>136</v>
      </c>
      <c r="E14" s="79"/>
      <c r="F14" s="345">
        <f>'Input Data'!D24</f>
        <v>750</v>
      </c>
      <c r="G14" s="346"/>
      <c r="H14" s="333" t="s">
        <v>127</v>
      </c>
      <c r="J14" s="325"/>
      <c r="K14" s="326"/>
      <c r="L14" s="326"/>
      <c r="M14" s="327"/>
    </row>
    <row r="15" ht="12.75" customHeight="1">
      <c r="A15" s="328" t="s">
        <v>137</v>
      </c>
      <c r="B15" s="324">
        <f>'Input Data'!D9</f>
        <v>0.18</v>
      </c>
      <c r="D15" s="347" t="s">
        <v>128</v>
      </c>
      <c r="E15" s="165"/>
      <c r="F15" s="348">
        <f>B3*B15</f>
        <v>24424.19103</v>
      </c>
      <c r="G15" s="349" t="s">
        <v>123</v>
      </c>
      <c r="H15" s="324">
        <f>'Input Data'!D25</f>
        <v>1</v>
      </c>
      <c r="J15" s="325"/>
      <c r="K15" s="326"/>
      <c r="L15" s="326"/>
      <c r="M15" s="327"/>
    </row>
    <row r="16" ht="12.75" customHeight="1">
      <c r="D16" s="328" t="s">
        <v>138</v>
      </c>
      <c r="E16" s="350"/>
      <c r="F16" s="351">
        <f>F15/F14</f>
        <v>32.56558804</v>
      </c>
      <c r="G16" s="330"/>
      <c r="H16" s="338">
        <f> F16/H15</f>
        <v>32.56558804</v>
      </c>
      <c r="J16" s="352"/>
      <c r="K16" s="353"/>
      <c r="L16" s="353" t="str">
        <f>H16/'Input Data'!G33</f>
        <v>#DIV/0!</v>
      </c>
      <c r="M16" s="354"/>
    </row>
    <row r="17" ht="12.75" customHeight="1"/>
    <row r="18" ht="55.5" customHeight="1">
      <c r="B18" s="355" t="s">
        <v>139</v>
      </c>
      <c r="C18" s="356" t="s">
        <v>140</v>
      </c>
      <c r="D18" s="356" t="s">
        <v>141</v>
      </c>
      <c r="E18" s="357" t="s">
        <v>142</v>
      </c>
      <c r="F18" s="356" t="s">
        <v>143</v>
      </c>
      <c r="G18" s="356" t="s">
        <v>144</v>
      </c>
      <c r="H18" s="355" t="s">
        <v>145</v>
      </c>
      <c r="I18" s="356" t="s">
        <v>146</v>
      </c>
      <c r="J18" s="356" t="s">
        <v>147</v>
      </c>
      <c r="K18" s="356" t="s">
        <v>148</v>
      </c>
      <c r="L18" s="356" t="s">
        <v>149</v>
      </c>
    </row>
    <row r="19" ht="12.75" customHeight="1">
      <c r="A19" s="36" t="s">
        <v>150</v>
      </c>
      <c r="B19" s="358">
        <f t="shared" ref="B19:B45" si="2">$B$5*$B$11</f>
        <v>612.7933233</v>
      </c>
      <c r="C19" s="305">
        <v>0.0</v>
      </c>
      <c r="D19" s="359">
        <f t="shared" ref="D19:D45" si="3">$B$5*$B$9</f>
        <v>3921.877269</v>
      </c>
      <c r="E19" s="305">
        <v>0.0</v>
      </c>
      <c r="F19" s="359">
        <f t="shared" ref="F19:F45" si="4">$B$5*$B$13</f>
        <v>490.2346587</v>
      </c>
      <c r="G19" s="305">
        <v>0.0</v>
      </c>
      <c r="H19" s="359">
        <f t="shared" ref="H19:H45" si="5">$B$5*$B$15</f>
        <v>1103.027982</v>
      </c>
      <c r="I19" s="305">
        <v>0.0</v>
      </c>
      <c r="J19" s="359">
        <f t="shared" ref="J19:K19" si="1">B19+D19+F19+H19</f>
        <v>6127.933233</v>
      </c>
      <c r="K19" s="360">
        <f t="shared" si="1"/>
        <v>0</v>
      </c>
      <c r="L19" s="361">
        <f t="shared" ref="L19:L45" si="7">J19-K19</f>
        <v>6127.933233</v>
      </c>
    </row>
    <row r="20" ht="12.75" customHeight="1">
      <c r="A20" s="36" t="s">
        <v>151</v>
      </c>
      <c r="B20" s="362">
        <f t="shared" si="2"/>
        <v>612.7933233</v>
      </c>
      <c r="C20" s="363">
        <v>0.0</v>
      </c>
      <c r="D20" s="364">
        <f t="shared" si="3"/>
        <v>3921.877269</v>
      </c>
      <c r="E20" s="363">
        <v>0.0</v>
      </c>
      <c r="F20" s="364">
        <f t="shared" si="4"/>
        <v>490.2346587</v>
      </c>
      <c r="G20" s="363">
        <v>0.0</v>
      </c>
      <c r="H20" s="364">
        <f t="shared" si="5"/>
        <v>1103.027982</v>
      </c>
      <c r="I20" s="363">
        <v>0.0</v>
      </c>
      <c r="J20" s="364">
        <f t="shared" ref="J20:K20" si="6">J19+B20+D20+F20+H20</f>
        <v>12255.86647</v>
      </c>
      <c r="K20" s="364">
        <f t="shared" si="6"/>
        <v>0</v>
      </c>
      <c r="L20" s="365">
        <f t="shared" si="7"/>
        <v>12255.86647</v>
      </c>
    </row>
    <row r="21" ht="12.75" customHeight="1">
      <c r="A21" s="36" t="s">
        <v>152</v>
      </c>
      <c r="B21" s="362">
        <f t="shared" si="2"/>
        <v>612.7933233</v>
      </c>
      <c r="C21" s="363">
        <v>0.0</v>
      </c>
      <c r="D21" s="364">
        <f t="shared" si="3"/>
        <v>3921.877269</v>
      </c>
      <c r="E21" s="363">
        <v>0.0</v>
      </c>
      <c r="F21" s="364">
        <f t="shared" si="4"/>
        <v>490.2346587</v>
      </c>
      <c r="G21" s="363">
        <v>0.0</v>
      </c>
      <c r="H21" s="364">
        <f t="shared" si="5"/>
        <v>1103.027982</v>
      </c>
      <c r="I21" s="363">
        <v>0.0</v>
      </c>
      <c r="J21" s="364">
        <f t="shared" ref="J21:K21" si="8">J20+B21+D21+F21+H21</f>
        <v>18383.7997</v>
      </c>
      <c r="K21" s="364">
        <f t="shared" si="8"/>
        <v>0</v>
      </c>
      <c r="L21" s="365">
        <f t="shared" si="7"/>
        <v>18383.7997</v>
      </c>
    </row>
    <row r="22" ht="12.75" customHeight="1">
      <c r="A22" s="36" t="s">
        <v>153</v>
      </c>
      <c r="B22" s="362">
        <f t="shared" si="2"/>
        <v>612.7933233</v>
      </c>
      <c r="C22" s="363">
        <v>0.0</v>
      </c>
      <c r="D22" s="364">
        <f t="shared" si="3"/>
        <v>3921.877269</v>
      </c>
      <c r="E22" s="363">
        <v>0.0</v>
      </c>
      <c r="F22" s="364">
        <f t="shared" si="4"/>
        <v>490.2346587</v>
      </c>
      <c r="G22" s="363">
        <v>0.0</v>
      </c>
      <c r="H22" s="364">
        <f t="shared" si="5"/>
        <v>1103.027982</v>
      </c>
      <c r="I22" s="363">
        <v>0.0</v>
      </c>
      <c r="J22" s="364">
        <f t="shared" ref="J22:K22" si="9">J21+B22+D22+F22+H22</f>
        <v>24511.73293</v>
      </c>
      <c r="K22" s="364">
        <f t="shared" si="9"/>
        <v>0</v>
      </c>
      <c r="L22" s="365">
        <f t="shared" si="7"/>
        <v>24511.73293</v>
      </c>
    </row>
    <row r="23" ht="12.75" customHeight="1">
      <c r="A23" s="36" t="s">
        <v>154</v>
      </c>
      <c r="B23" s="362">
        <f t="shared" si="2"/>
        <v>612.7933233</v>
      </c>
      <c r="C23" s="366">
        <v>0.0</v>
      </c>
      <c r="D23" s="364">
        <f t="shared" si="3"/>
        <v>3921.877269</v>
      </c>
      <c r="E23" s="363">
        <v>0.0</v>
      </c>
      <c r="F23" s="364">
        <f t="shared" si="4"/>
        <v>490.2346587</v>
      </c>
      <c r="G23" s="363">
        <v>0.0</v>
      </c>
      <c r="H23" s="364">
        <f t="shared" si="5"/>
        <v>1103.027982</v>
      </c>
      <c r="I23" s="363">
        <v>0.0</v>
      </c>
      <c r="J23" s="364">
        <f t="shared" ref="J23:K23" si="10">J22+B23+D23+F23+H23</f>
        <v>30639.66617</v>
      </c>
      <c r="K23" s="364">
        <f t="shared" si="10"/>
        <v>0</v>
      </c>
      <c r="L23" s="365">
        <f t="shared" si="7"/>
        <v>30639.66617</v>
      </c>
    </row>
    <row r="24" ht="12.75" customHeight="1">
      <c r="A24" s="36" t="s">
        <v>155</v>
      </c>
      <c r="B24" s="362">
        <f t="shared" si="2"/>
        <v>612.7933233</v>
      </c>
      <c r="C24" s="363">
        <v>0.0</v>
      </c>
      <c r="D24" s="364">
        <f t="shared" si="3"/>
        <v>3921.877269</v>
      </c>
      <c r="E24" s="363">
        <v>0.0</v>
      </c>
      <c r="F24" s="364">
        <f t="shared" si="4"/>
        <v>490.2346587</v>
      </c>
      <c r="G24" s="363">
        <v>0.0</v>
      </c>
      <c r="H24" s="364">
        <f t="shared" si="5"/>
        <v>1103.027982</v>
      </c>
      <c r="I24" s="363">
        <v>0.0</v>
      </c>
      <c r="J24" s="364">
        <f t="shared" ref="J24:K24" si="11">J23+B24+D24+F24+H24</f>
        <v>36767.5994</v>
      </c>
      <c r="K24" s="364">
        <f t="shared" si="11"/>
        <v>0</v>
      </c>
      <c r="L24" s="365">
        <f t="shared" si="7"/>
        <v>36767.5994</v>
      </c>
    </row>
    <row r="25" ht="12.75" customHeight="1">
      <c r="A25" s="36" t="s">
        <v>156</v>
      </c>
      <c r="B25" s="362">
        <f t="shared" si="2"/>
        <v>612.7933233</v>
      </c>
      <c r="C25" s="363">
        <v>0.0</v>
      </c>
      <c r="D25" s="364">
        <f t="shared" si="3"/>
        <v>3921.877269</v>
      </c>
      <c r="E25" s="366">
        <v>0.0</v>
      </c>
      <c r="F25" s="364">
        <f t="shared" si="4"/>
        <v>490.2346587</v>
      </c>
      <c r="G25" s="363">
        <v>0.0</v>
      </c>
      <c r="H25" s="364">
        <f t="shared" si="5"/>
        <v>1103.027982</v>
      </c>
      <c r="I25" s="363">
        <v>0.0</v>
      </c>
      <c r="J25" s="364">
        <f t="shared" ref="J25:K25" si="12">J24+B25+D25+F25+H25</f>
        <v>42895.53263</v>
      </c>
      <c r="K25" s="364">
        <f t="shared" si="12"/>
        <v>0</v>
      </c>
      <c r="L25" s="365">
        <f t="shared" si="7"/>
        <v>42895.53263</v>
      </c>
    </row>
    <row r="26" ht="12.75" customHeight="1">
      <c r="A26" s="36" t="s">
        <v>157</v>
      </c>
      <c r="B26" s="362">
        <f t="shared" si="2"/>
        <v>612.7933233</v>
      </c>
      <c r="C26" s="363">
        <v>0.0</v>
      </c>
      <c r="D26" s="364">
        <f t="shared" si="3"/>
        <v>3921.877269</v>
      </c>
      <c r="E26" s="363">
        <v>0.0</v>
      </c>
      <c r="F26" s="364">
        <f t="shared" si="4"/>
        <v>490.2346587</v>
      </c>
      <c r="G26" s="366">
        <v>0.0</v>
      </c>
      <c r="H26" s="364">
        <f t="shared" si="5"/>
        <v>1103.027982</v>
      </c>
      <c r="I26" s="363">
        <v>0.0</v>
      </c>
      <c r="J26" s="364">
        <f t="shared" ref="J26:K26" si="13">J25+B26+D26+F26+H26</f>
        <v>49023.46587</v>
      </c>
      <c r="K26" s="364">
        <f t="shared" si="13"/>
        <v>0</v>
      </c>
      <c r="L26" s="365">
        <f t="shared" si="7"/>
        <v>49023.46587</v>
      </c>
    </row>
    <row r="27" ht="12.75" customHeight="1">
      <c r="A27" s="36" t="s">
        <v>158</v>
      </c>
      <c r="B27" s="362">
        <f t="shared" si="2"/>
        <v>612.7933233</v>
      </c>
      <c r="C27" s="363">
        <v>0.0</v>
      </c>
      <c r="D27" s="364">
        <f t="shared" si="3"/>
        <v>3921.877269</v>
      </c>
      <c r="E27" s="363">
        <v>0.0</v>
      </c>
      <c r="F27" s="364">
        <f t="shared" si="4"/>
        <v>490.2346587</v>
      </c>
      <c r="G27" s="363">
        <v>0.0</v>
      </c>
      <c r="H27" s="364">
        <f t="shared" si="5"/>
        <v>1103.027982</v>
      </c>
      <c r="I27" s="363">
        <v>0.0</v>
      </c>
      <c r="J27" s="364">
        <f t="shared" ref="J27:K27" si="14">J26+B27+D27+F27+H27</f>
        <v>55151.3991</v>
      </c>
      <c r="K27" s="364">
        <f t="shared" si="14"/>
        <v>0</v>
      </c>
      <c r="L27" s="365">
        <f t="shared" si="7"/>
        <v>55151.3991</v>
      </c>
    </row>
    <row r="28" ht="12.75" customHeight="1">
      <c r="A28" s="36" t="s">
        <v>159</v>
      </c>
      <c r="B28" s="362">
        <f t="shared" si="2"/>
        <v>612.7933233</v>
      </c>
      <c r="C28" s="363">
        <v>0.0</v>
      </c>
      <c r="D28" s="364">
        <f t="shared" si="3"/>
        <v>3921.877269</v>
      </c>
      <c r="E28" s="363">
        <v>0.0</v>
      </c>
      <c r="F28" s="364">
        <f t="shared" si="4"/>
        <v>490.2346587</v>
      </c>
      <c r="G28" s="363">
        <v>0.0</v>
      </c>
      <c r="H28" s="364">
        <f t="shared" si="5"/>
        <v>1103.027982</v>
      </c>
      <c r="I28" s="363">
        <v>0.0</v>
      </c>
      <c r="J28" s="364">
        <f t="shared" ref="J28:K28" si="15">J27+B28+D28+F28+H28</f>
        <v>61279.33233</v>
      </c>
      <c r="K28" s="364">
        <f t="shared" si="15"/>
        <v>0</v>
      </c>
      <c r="L28" s="365">
        <f t="shared" si="7"/>
        <v>61279.33233</v>
      </c>
    </row>
    <row r="29" ht="12.75" customHeight="1">
      <c r="A29" s="36" t="s">
        <v>160</v>
      </c>
      <c r="B29" s="362">
        <f t="shared" si="2"/>
        <v>612.7933233</v>
      </c>
      <c r="C29" s="363">
        <v>0.0</v>
      </c>
      <c r="D29" s="364">
        <f t="shared" si="3"/>
        <v>3921.877269</v>
      </c>
      <c r="E29" s="363">
        <v>0.0</v>
      </c>
      <c r="F29" s="364">
        <f t="shared" si="4"/>
        <v>490.2346587</v>
      </c>
      <c r="G29" s="363">
        <v>0.0</v>
      </c>
      <c r="H29" s="364">
        <f t="shared" si="5"/>
        <v>1103.027982</v>
      </c>
      <c r="I29" s="363">
        <v>0.0</v>
      </c>
      <c r="J29" s="364">
        <f t="shared" ref="J29:K29" si="16">J28+B29+D29+F29+H29</f>
        <v>67407.26556</v>
      </c>
      <c r="K29" s="364">
        <f t="shared" si="16"/>
        <v>0</v>
      </c>
      <c r="L29" s="365">
        <f t="shared" si="7"/>
        <v>67407.26556</v>
      </c>
    </row>
    <row r="30" ht="12.75" customHeight="1">
      <c r="A30" s="36" t="s">
        <v>161</v>
      </c>
      <c r="B30" s="362">
        <f t="shared" si="2"/>
        <v>612.7933233</v>
      </c>
      <c r="C30" s="363">
        <v>0.0</v>
      </c>
      <c r="D30" s="364">
        <f t="shared" si="3"/>
        <v>3921.877269</v>
      </c>
      <c r="E30" s="363">
        <v>0.0</v>
      </c>
      <c r="F30" s="364">
        <f t="shared" si="4"/>
        <v>490.2346587</v>
      </c>
      <c r="G30" s="363">
        <v>0.0</v>
      </c>
      <c r="H30" s="364">
        <f t="shared" si="5"/>
        <v>1103.027982</v>
      </c>
      <c r="I30" s="363">
        <v>0.0</v>
      </c>
      <c r="J30" s="364">
        <f t="shared" ref="J30:K30" si="17">J29+B30+D30+F30+H30</f>
        <v>73535.1988</v>
      </c>
      <c r="K30" s="364">
        <f t="shared" si="17"/>
        <v>0</v>
      </c>
      <c r="L30" s="365">
        <f t="shared" si="7"/>
        <v>73535.1988</v>
      </c>
    </row>
    <row r="31" ht="12.75" customHeight="1">
      <c r="A31" s="36" t="s">
        <v>162</v>
      </c>
      <c r="B31" s="362">
        <f t="shared" si="2"/>
        <v>612.7933233</v>
      </c>
      <c r="C31" s="363">
        <v>0.0</v>
      </c>
      <c r="D31" s="364">
        <f t="shared" si="3"/>
        <v>3921.877269</v>
      </c>
      <c r="E31" s="363">
        <v>0.0</v>
      </c>
      <c r="F31" s="364">
        <f t="shared" si="4"/>
        <v>490.2346587</v>
      </c>
      <c r="G31" s="363">
        <v>0.0</v>
      </c>
      <c r="H31" s="364">
        <f t="shared" si="5"/>
        <v>1103.027982</v>
      </c>
      <c r="I31" s="363">
        <v>0.0</v>
      </c>
      <c r="J31" s="364">
        <f t="shared" ref="J31:K31" si="18">J30+B31+D31+F31+H31</f>
        <v>79663.13203</v>
      </c>
      <c r="K31" s="364">
        <f t="shared" si="18"/>
        <v>0</v>
      </c>
      <c r="L31" s="365">
        <f t="shared" si="7"/>
        <v>79663.13203</v>
      </c>
    </row>
    <row r="32" ht="12.75" customHeight="1">
      <c r="A32" s="36" t="s">
        <v>163</v>
      </c>
      <c r="B32" s="362">
        <f t="shared" si="2"/>
        <v>612.7933233</v>
      </c>
      <c r="C32" s="363">
        <v>0.0</v>
      </c>
      <c r="D32" s="364">
        <f t="shared" si="3"/>
        <v>3921.877269</v>
      </c>
      <c r="E32" s="363">
        <v>0.0</v>
      </c>
      <c r="F32" s="364">
        <f t="shared" si="4"/>
        <v>490.2346587</v>
      </c>
      <c r="G32" s="363">
        <v>0.0</v>
      </c>
      <c r="H32" s="364">
        <f t="shared" si="5"/>
        <v>1103.027982</v>
      </c>
      <c r="I32" s="363">
        <v>0.0</v>
      </c>
      <c r="J32" s="364">
        <f t="shared" ref="J32:K32" si="19">J31+B32+D32+F32+H32</f>
        <v>85791.06526</v>
      </c>
      <c r="K32" s="364">
        <f t="shared" si="19"/>
        <v>0</v>
      </c>
      <c r="L32" s="365">
        <f t="shared" si="7"/>
        <v>85791.06526</v>
      </c>
    </row>
    <row r="33" ht="12.75" customHeight="1">
      <c r="A33" s="36" t="s">
        <v>164</v>
      </c>
      <c r="B33" s="362">
        <f t="shared" si="2"/>
        <v>612.7933233</v>
      </c>
      <c r="C33" s="363">
        <v>0.0</v>
      </c>
      <c r="D33" s="364">
        <f t="shared" si="3"/>
        <v>3921.877269</v>
      </c>
      <c r="E33" s="363">
        <v>0.0</v>
      </c>
      <c r="F33" s="364">
        <f t="shared" si="4"/>
        <v>490.2346587</v>
      </c>
      <c r="G33" s="363">
        <v>0.0</v>
      </c>
      <c r="H33" s="364">
        <f t="shared" si="5"/>
        <v>1103.027982</v>
      </c>
      <c r="I33" s="363">
        <v>0.0</v>
      </c>
      <c r="J33" s="364">
        <f t="shared" ref="J33:K33" si="20">J32+B33+D33+F33+H33</f>
        <v>91918.9985</v>
      </c>
      <c r="K33" s="364">
        <f t="shared" si="20"/>
        <v>0</v>
      </c>
      <c r="L33" s="365">
        <f t="shared" si="7"/>
        <v>91918.9985</v>
      </c>
    </row>
    <row r="34" ht="12.75" customHeight="1">
      <c r="A34" s="36" t="s">
        <v>165</v>
      </c>
      <c r="B34" s="362">
        <f t="shared" si="2"/>
        <v>612.7933233</v>
      </c>
      <c r="C34" s="363">
        <v>0.0</v>
      </c>
      <c r="D34" s="364">
        <f t="shared" si="3"/>
        <v>3921.877269</v>
      </c>
      <c r="E34" s="363">
        <v>0.0</v>
      </c>
      <c r="F34" s="364">
        <f t="shared" si="4"/>
        <v>490.2346587</v>
      </c>
      <c r="G34" s="363">
        <v>0.0</v>
      </c>
      <c r="H34" s="364">
        <f t="shared" si="5"/>
        <v>1103.027982</v>
      </c>
      <c r="I34" s="363">
        <v>0.0</v>
      </c>
      <c r="J34" s="364">
        <f t="shared" ref="J34:K34" si="21">J33+B34+D34+F34+H34</f>
        <v>98046.93173</v>
      </c>
      <c r="K34" s="364">
        <f t="shared" si="21"/>
        <v>0</v>
      </c>
      <c r="L34" s="365">
        <f t="shared" si="7"/>
        <v>98046.93173</v>
      </c>
    </row>
    <row r="35" ht="12.75" customHeight="1">
      <c r="A35" s="36" t="s">
        <v>166</v>
      </c>
      <c r="B35" s="362">
        <f t="shared" si="2"/>
        <v>612.7933233</v>
      </c>
      <c r="C35" s="363">
        <v>0.0</v>
      </c>
      <c r="D35" s="364">
        <f t="shared" si="3"/>
        <v>3921.877269</v>
      </c>
      <c r="E35" s="363">
        <v>0.0</v>
      </c>
      <c r="F35" s="364">
        <f t="shared" si="4"/>
        <v>490.2346587</v>
      </c>
      <c r="G35" s="363">
        <v>0.0</v>
      </c>
      <c r="H35" s="364">
        <f t="shared" si="5"/>
        <v>1103.027982</v>
      </c>
      <c r="I35" s="363">
        <v>0.0</v>
      </c>
      <c r="J35" s="364">
        <f t="shared" ref="J35:K35" si="22">J34+B35+D35+F35+H35</f>
        <v>104174.865</v>
      </c>
      <c r="K35" s="364">
        <f t="shared" si="22"/>
        <v>0</v>
      </c>
      <c r="L35" s="365">
        <f t="shared" si="7"/>
        <v>104174.865</v>
      </c>
    </row>
    <row r="36" ht="12.75" customHeight="1">
      <c r="A36" s="36" t="s">
        <v>167</v>
      </c>
      <c r="B36" s="362">
        <f t="shared" si="2"/>
        <v>612.7933233</v>
      </c>
      <c r="C36" s="363">
        <v>0.0</v>
      </c>
      <c r="D36" s="364">
        <f t="shared" si="3"/>
        <v>3921.877269</v>
      </c>
      <c r="E36" s="363">
        <v>0.0</v>
      </c>
      <c r="F36" s="364">
        <f t="shared" si="4"/>
        <v>490.2346587</v>
      </c>
      <c r="G36" s="363">
        <v>0.0</v>
      </c>
      <c r="H36" s="364">
        <f t="shared" si="5"/>
        <v>1103.027982</v>
      </c>
      <c r="I36" s="363">
        <v>0.0</v>
      </c>
      <c r="J36" s="364">
        <f t="shared" ref="J36:K36" si="23">J35+B36+D36+F36+H36</f>
        <v>110302.7982</v>
      </c>
      <c r="K36" s="364">
        <f t="shared" si="23"/>
        <v>0</v>
      </c>
      <c r="L36" s="365">
        <f t="shared" si="7"/>
        <v>110302.7982</v>
      </c>
    </row>
    <row r="37" ht="12.75" customHeight="1">
      <c r="A37" s="36" t="s">
        <v>168</v>
      </c>
      <c r="B37" s="362">
        <f t="shared" si="2"/>
        <v>612.7933233</v>
      </c>
      <c r="C37" s="363">
        <v>0.0</v>
      </c>
      <c r="D37" s="364">
        <f t="shared" si="3"/>
        <v>3921.877269</v>
      </c>
      <c r="E37" s="363">
        <v>0.0</v>
      </c>
      <c r="F37" s="364">
        <f t="shared" si="4"/>
        <v>490.2346587</v>
      </c>
      <c r="G37" s="363">
        <v>0.0</v>
      </c>
      <c r="H37" s="364">
        <f t="shared" si="5"/>
        <v>1103.027982</v>
      </c>
      <c r="I37" s="363">
        <v>0.0</v>
      </c>
      <c r="J37" s="364">
        <f t="shared" ref="J37:K37" si="24">J36+B37+D37+F37+H37</f>
        <v>116430.7314</v>
      </c>
      <c r="K37" s="364">
        <f t="shared" si="24"/>
        <v>0</v>
      </c>
      <c r="L37" s="365">
        <f t="shared" si="7"/>
        <v>116430.7314</v>
      </c>
    </row>
    <row r="38" ht="12.75" customHeight="1">
      <c r="A38" s="36" t="s">
        <v>169</v>
      </c>
      <c r="B38" s="362">
        <f t="shared" si="2"/>
        <v>612.7933233</v>
      </c>
      <c r="C38" s="363">
        <v>0.0</v>
      </c>
      <c r="D38" s="364">
        <f t="shared" si="3"/>
        <v>3921.877269</v>
      </c>
      <c r="E38" s="363">
        <v>0.0</v>
      </c>
      <c r="F38" s="364">
        <f t="shared" si="4"/>
        <v>490.2346587</v>
      </c>
      <c r="G38" s="363">
        <v>0.0</v>
      </c>
      <c r="H38" s="364">
        <f t="shared" si="5"/>
        <v>1103.027982</v>
      </c>
      <c r="I38" s="363">
        <v>0.0</v>
      </c>
      <c r="J38" s="364">
        <f t="shared" ref="J38:K38" si="25">J37+B38+D38+F38+H38</f>
        <v>122558.6647</v>
      </c>
      <c r="K38" s="364">
        <f t="shared" si="25"/>
        <v>0</v>
      </c>
      <c r="L38" s="365">
        <f t="shared" si="7"/>
        <v>122558.6647</v>
      </c>
    </row>
    <row r="39" ht="12.75" customHeight="1">
      <c r="A39" s="36" t="s">
        <v>170</v>
      </c>
      <c r="B39" s="362">
        <f t="shared" si="2"/>
        <v>612.7933233</v>
      </c>
      <c r="C39" s="363">
        <v>0.0</v>
      </c>
      <c r="D39" s="364">
        <f t="shared" si="3"/>
        <v>3921.877269</v>
      </c>
      <c r="E39" s="363">
        <v>0.0</v>
      </c>
      <c r="F39" s="364">
        <f t="shared" si="4"/>
        <v>490.2346587</v>
      </c>
      <c r="G39" s="363">
        <v>0.0</v>
      </c>
      <c r="H39" s="364">
        <f t="shared" si="5"/>
        <v>1103.027982</v>
      </c>
      <c r="I39" s="363">
        <v>0.0</v>
      </c>
      <c r="J39" s="364">
        <f t="shared" ref="J39:K39" si="26">J38+B39+D39+F39+H39</f>
        <v>128686.5979</v>
      </c>
      <c r="K39" s="364">
        <f t="shared" si="26"/>
        <v>0</v>
      </c>
      <c r="L39" s="365">
        <f t="shared" si="7"/>
        <v>128686.5979</v>
      </c>
    </row>
    <row r="40" ht="12.75" customHeight="1">
      <c r="A40" s="36" t="s">
        <v>171</v>
      </c>
      <c r="B40" s="362">
        <f t="shared" si="2"/>
        <v>612.7933233</v>
      </c>
      <c r="C40" s="363">
        <v>0.0</v>
      </c>
      <c r="D40" s="364">
        <f t="shared" si="3"/>
        <v>3921.877269</v>
      </c>
      <c r="E40" s="363">
        <v>0.0</v>
      </c>
      <c r="F40" s="364">
        <f t="shared" si="4"/>
        <v>490.2346587</v>
      </c>
      <c r="G40" s="363">
        <v>0.0</v>
      </c>
      <c r="H40" s="364">
        <f t="shared" si="5"/>
        <v>1103.027982</v>
      </c>
      <c r="I40" s="363">
        <v>0.0</v>
      </c>
      <c r="J40" s="364">
        <f t="shared" ref="J40:K40" si="27">J39+B40+D40+F40+H40</f>
        <v>134814.5311</v>
      </c>
      <c r="K40" s="364">
        <f t="shared" si="27"/>
        <v>0</v>
      </c>
      <c r="L40" s="365">
        <f t="shared" si="7"/>
        <v>134814.5311</v>
      </c>
    </row>
    <row r="41" ht="12.75" customHeight="1">
      <c r="A41" s="36" t="s">
        <v>172</v>
      </c>
      <c r="B41" s="362">
        <f t="shared" si="2"/>
        <v>612.7933233</v>
      </c>
      <c r="C41" s="363">
        <v>0.0</v>
      </c>
      <c r="D41" s="364">
        <f t="shared" si="3"/>
        <v>3921.877269</v>
      </c>
      <c r="E41" s="363">
        <v>0.0</v>
      </c>
      <c r="F41" s="364">
        <f t="shared" si="4"/>
        <v>490.2346587</v>
      </c>
      <c r="G41" s="363">
        <v>0.0</v>
      </c>
      <c r="H41" s="364">
        <f t="shared" si="5"/>
        <v>1103.027982</v>
      </c>
      <c r="I41" s="363">
        <v>0.0</v>
      </c>
      <c r="J41" s="364">
        <f t="shared" ref="J41:K41" si="28">J40+B41+D41+F41+H41</f>
        <v>140942.4644</v>
      </c>
      <c r="K41" s="364">
        <f t="shared" si="28"/>
        <v>0</v>
      </c>
      <c r="L41" s="365">
        <f t="shared" si="7"/>
        <v>140942.4644</v>
      </c>
    </row>
    <row r="42" ht="12.75" customHeight="1">
      <c r="A42" s="36" t="s">
        <v>173</v>
      </c>
      <c r="B42" s="362">
        <f t="shared" si="2"/>
        <v>612.7933233</v>
      </c>
      <c r="C42" s="363">
        <v>0.0</v>
      </c>
      <c r="D42" s="364">
        <f t="shared" si="3"/>
        <v>3921.877269</v>
      </c>
      <c r="E42" s="363">
        <v>0.0</v>
      </c>
      <c r="F42" s="364">
        <f t="shared" si="4"/>
        <v>490.2346587</v>
      </c>
      <c r="G42" s="363">
        <v>0.0</v>
      </c>
      <c r="H42" s="364">
        <f t="shared" si="5"/>
        <v>1103.027982</v>
      </c>
      <c r="I42" s="363">
        <v>0.0</v>
      </c>
      <c r="J42" s="364">
        <f t="shared" ref="J42:K42" si="29">J41+B42+D42+F42+H42</f>
        <v>147070.3976</v>
      </c>
      <c r="K42" s="364">
        <f t="shared" si="29"/>
        <v>0</v>
      </c>
      <c r="L42" s="365">
        <f t="shared" si="7"/>
        <v>147070.3976</v>
      </c>
    </row>
    <row r="43" ht="12.75" customHeight="1">
      <c r="A43" s="36" t="s">
        <v>174</v>
      </c>
      <c r="B43" s="362">
        <f t="shared" si="2"/>
        <v>612.7933233</v>
      </c>
      <c r="C43" s="363">
        <v>0.0</v>
      </c>
      <c r="D43" s="364">
        <f t="shared" si="3"/>
        <v>3921.877269</v>
      </c>
      <c r="E43" s="363">
        <v>0.0</v>
      </c>
      <c r="F43" s="364">
        <f t="shared" si="4"/>
        <v>490.2346587</v>
      </c>
      <c r="G43" s="363">
        <v>0.0</v>
      </c>
      <c r="H43" s="364">
        <f t="shared" si="5"/>
        <v>1103.027982</v>
      </c>
      <c r="I43" s="363">
        <v>0.0</v>
      </c>
      <c r="J43" s="364">
        <f t="shared" ref="J43:K43" si="30">J42+B43+D43+F43+H43</f>
        <v>153198.3308</v>
      </c>
      <c r="K43" s="364">
        <f t="shared" si="30"/>
        <v>0</v>
      </c>
      <c r="L43" s="365">
        <f t="shared" si="7"/>
        <v>153198.3308</v>
      </c>
    </row>
    <row r="44" ht="12.75" customHeight="1">
      <c r="A44" s="36" t="s">
        <v>175</v>
      </c>
      <c r="B44" s="362">
        <f t="shared" si="2"/>
        <v>612.7933233</v>
      </c>
      <c r="C44" s="363">
        <v>0.0</v>
      </c>
      <c r="D44" s="364">
        <f t="shared" si="3"/>
        <v>3921.877269</v>
      </c>
      <c r="E44" s="363">
        <v>0.0</v>
      </c>
      <c r="F44" s="364">
        <f t="shared" si="4"/>
        <v>490.2346587</v>
      </c>
      <c r="G44" s="363">
        <v>0.0</v>
      </c>
      <c r="H44" s="364">
        <f t="shared" si="5"/>
        <v>1103.027982</v>
      </c>
      <c r="I44" s="363">
        <v>0.0</v>
      </c>
      <c r="J44" s="364">
        <f t="shared" ref="J44:K44" si="31">J43+B44+D44+F44+H44</f>
        <v>159326.2641</v>
      </c>
      <c r="K44" s="364">
        <f t="shared" si="31"/>
        <v>0</v>
      </c>
      <c r="L44" s="365">
        <f t="shared" si="7"/>
        <v>159326.2641</v>
      </c>
    </row>
    <row r="45" ht="12.75" customHeight="1">
      <c r="A45" s="3" t="s">
        <v>176</v>
      </c>
      <c r="B45" s="367">
        <f t="shared" si="2"/>
        <v>612.7933233</v>
      </c>
      <c r="C45" s="368">
        <v>0.0</v>
      </c>
      <c r="D45" s="369">
        <f t="shared" si="3"/>
        <v>3921.877269</v>
      </c>
      <c r="E45" s="368">
        <v>0.0</v>
      </c>
      <c r="F45" s="369">
        <f t="shared" si="4"/>
        <v>490.2346587</v>
      </c>
      <c r="G45" s="368">
        <v>0.0</v>
      </c>
      <c r="H45" s="369">
        <f t="shared" si="5"/>
        <v>1103.027982</v>
      </c>
      <c r="I45" s="368">
        <v>0.0</v>
      </c>
      <c r="J45" s="369">
        <f t="shared" ref="J45:K45" si="32">J44+B45+D45+F45+H45</f>
        <v>165454.1973</v>
      </c>
      <c r="K45" s="369">
        <f t="shared" si="32"/>
        <v>0</v>
      </c>
      <c r="L45" s="370">
        <f t="shared" si="7"/>
        <v>165454.1973</v>
      </c>
    </row>
    <row r="46" ht="12.75" customHeight="1">
      <c r="D46" s="190"/>
    </row>
    <row r="47" ht="12.75" customHeight="1">
      <c r="D47" s="190"/>
    </row>
    <row r="48" ht="12.75" customHeight="1">
      <c r="A48" s="371" t="s">
        <v>177</v>
      </c>
      <c r="B48" s="108"/>
      <c r="C48" s="372" t="s">
        <v>178</v>
      </c>
      <c r="D48" s="373" t="s">
        <v>179</v>
      </c>
      <c r="E48" s="373" t="s">
        <v>180</v>
      </c>
      <c r="F48" s="374" t="s">
        <v>181</v>
      </c>
    </row>
    <row r="49" ht="14.25" customHeight="1">
      <c r="A49" s="375"/>
      <c r="B49" s="376"/>
      <c r="C49" s="377"/>
      <c r="D49" s="377"/>
      <c r="E49" s="377"/>
      <c r="F49" s="378"/>
    </row>
    <row r="50" ht="14.25" customHeight="1">
      <c r="A50" s="379"/>
      <c r="B50" s="380"/>
      <c r="C50" s="381"/>
      <c r="D50" s="381"/>
      <c r="E50" s="381"/>
      <c r="F50" s="382"/>
    </row>
    <row r="51" ht="14.25" customHeight="1">
      <c r="A51" s="379"/>
      <c r="B51" s="380"/>
      <c r="C51" s="381"/>
      <c r="D51" s="381"/>
      <c r="E51" s="381"/>
      <c r="F51" s="382"/>
    </row>
    <row r="52" ht="14.25" customHeight="1">
      <c r="A52" s="379"/>
      <c r="B52" s="380"/>
      <c r="C52" s="381"/>
      <c r="D52" s="381"/>
      <c r="E52" s="381"/>
      <c r="F52" s="382"/>
    </row>
    <row r="53" ht="14.25" customHeight="1">
      <c r="A53" s="379"/>
      <c r="B53" s="380"/>
      <c r="C53" s="381"/>
      <c r="D53" s="381"/>
      <c r="E53" s="381"/>
      <c r="F53" s="382"/>
    </row>
    <row r="54" ht="14.25" customHeight="1">
      <c r="A54" s="379"/>
      <c r="B54" s="380"/>
      <c r="C54" s="381"/>
      <c r="D54" s="381"/>
      <c r="E54" s="381"/>
      <c r="F54" s="382"/>
    </row>
    <row r="55" ht="14.25" customHeight="1">
      <c r="A55" s="379"/>
      <c r="B55" s="380"/>
      <c r="C55" s="381"/>
      <c r="D55" s="381"/>
      <c r="E55" s="381"/>
      <c r="F55" s="382"/>
    </row>
    <row r="56" ht="14.25" customHeight="1">
      <c r="A56" s="379"/>
      <c r="B56" s="380"/>
      <c r="C56" s="381"/>
      <c r="D56" s="381"/>
      <c r="E56" s="381"/>
      <c r="F56" s="382"/>
    </row>
    <row r="57" ht="14.25" customHeight="1">
      <c r="A57" s="379"/>
      <c r="B57" s="380"/>
      <c r="C57" s="381"/>
      <c r="D57" s="381"/>
      <c r="E57" s="381"/>
      <c r="F57" s="382"/>
    </row>
    <row r="58" ht="14.25" customHeight="1">
      <c r="A58" s="379"/>
      <c r="B58" s="380"/>
      <c r="C58" s="381"/>
      <c r="D58" s="381"/>
      <c r="E58" s="381"/>
      <c r="F58" s="382"/>
    </row>
    <row r="59" ht="14.25" customHeight="1">
      <c r="A59" s="379"/>
      <c r="B59" s="380"/>
      <c r="C59" s="381"/>
      <c r="D59" s="381"/>
      <c r="E59" s="381"/>
      <c r="F59" s="382"/>
    </row>
    <row r="60" ht="14.25" customHeight="1">
      <c r="A60" s="379"/>
      <c r="B60" s="380"/>
      <c r="C60" s="381"/>
      <c r="D60" s="381"/>
      <c r="E60" s="381"/>
      <c r="F60" s="382"/>
    </row>
    <row r="61" ht="14.25" customHeight="1">
      <c r="A61" s="379"/>
      <c r="B61" s="380"/>
      <c r="C61" s="381"/>
      <c r="D61" s="381"/>
      <c r="E61" s="381"/>
      <c r="F61" s="382"/>
    </row>
    <row r="62" ht="14.25" customHeight="1">
      <c r="A62" s="379"/>
      <c r="B62" s="380"/>
      <c r="C62" s="381"/>
      <c r="D62" s="381"/>
      <c r="E62" s="381"/>
      <c r="F62" s="382"/>
    </row>
    <row r="63" ht="14.25" customHeight="1">
      <c r="A63" s="379"/>
      <c r="B63" s="380"/>
      <c r="C63" s="381"/>
      <c r="D63" s="381"/>
      <c r="E63" s="381"/>
      <c r="F63" s="382"/>
    </row>
    <row r="64" ht="14.25" customHeight="1">
      <c r="A64" s="379"/>
      <c r="B64" s="380"/>
      <c r="C64" s="381"/>
      <c r="D64" s="381"/>
      <c r="E64" s="381"/>
      <c r="F64" s="382"/>
    </row>
    <row r="65" ht="14.25" customHeight="1">
      <c r="A65" s="379"/>
      <c r="B65" s="380"/>
      <c r="C65" s="381"/>
      <c r="D65" s="381"/>
      <c r="E65" s="381"/>
      <c r="F65" s="382"/>
    </row>
    <row r="66" ht="14.25" customHeight="1">
      <c r="A66" s="379"/>
      <c r="B66" s="380"/>
      <c r="C66" s="381"/>
      <c r="D66" s="381"/>
      <c r="E66" s="381"/>
      <c r="F66" s="382"/>
    </row>
    <row r="67" ht="14.25" customHeight="1">
      <c r="A67" s="379"/>
      <c r="B67" s="380"/>
      <c r="C67" s="381"/>
      <c r="D67" s="381"/>
      <c r="E67" s="381"/>
      <c r="F67" s="382"/>
    </row>
    <row r="68" ht="14.25" customHeight="1">
      <c r="A68" s="379"/>
      <c r="B68" s="380"/>
      <c r="C68" s="381"/>
      <c r="D68" s="381"/>
      <c r="E68" s="381"/>
      <c r="F68" s="382"/>
    </row>
    <row r="69" ht="12.75" customHeight="1">
      <c r="A69" s="383"/>
      <c r="B69" s="384"/>
      <c r="C69" s="385"/>
      <c r="D69" s="385"/>
      <c r="E69" s="385"/>
      <c r="F69" s="386"/>
    </row>
    <row r="70" ht="12.75" customHeight="1">
      <c r="A70" s="3"/>
      <c r="B70" s="3"/>
      <c r="C70" s="3"/>
      <c r="D70" s="3"/>
      <c r="E70" s="3"/>
      <c r="F70" s="3"/>
      <c r="G70" s="3"/>
    </row>
    <row r="71" ht="12.75" customHeight="1">
      <c r="A71" s="3"/>
      <c r="B71" s="3"/>
      <c r="C71" s="3"/>
      <c r="D71" s="3"/>
      <c r="E71" s="3"/>
      <c r="F71" s="3"/>
      <c r="G71" s="3"/>
    </row>
    <row r="72" ht="12.75" customHeight="1">
      <c r="A72" s="3"/>
      <c r="B72" s="3"/>
      <c r="C72" s="3"/>
      <c r="D72" s="3"/>
      <c r="E72" s="3"/>
      <c r="F72" s="3"/>
      <c r="G72" s="3"/>
    </row>
    <row r="73" ht="12.75" customHeight="1">
      <c r="A73" s="3"/>
      <c r="B73" s="3"/>
      <c r="C73" s="3"/>
      <c r="D73" s="3"/>
      <c r="E73" s="3"/>
      <c r="F73" s="3"/>
      <c r="G73" s="3"/>
    </row>
    <row r="74" ht="12.75" customHeight="1">
      <c r="A74" s="3"/>
      <c r="B74" s="3"/>
      <c r="C74" s="3"/>
      <c r="D74" s="3"/>
      <c r="E74" s="3"/>
      <c r="F74" s="3"/>
      <c r="G74" s="3"/>
    </row>
    <row r="75" ht="12.75" customHeight="1">
      <c r="A75" s="3"/>
      <c r="B75" s="3"/>
      <c r="C75" s="3"/>
      <c r="D75" s="3"/>
      <c r="E75" s="3"/>
      <c r="F75" s="3"/>
      <c r="G75" s="3"/>
    </row>
    <row r="76" ht="12.75" customHeight="1">
      <c r="A76" s="3"/>
      <c r="B76" s="3"/>
      <c r="C76" s="3"/>
      <c r="D76" s="3"/>
      <c r="E76" s="3"/>
      <c r="F76" s="3"/>
      <c r="G76" s="3"/>
    </row>
    <row r="77" ht="12.75" customHeight="1">
      <c r="A77" s="3"/>
      <c r="B77" s="3"/>
      <c r="C77" s="3"/>
      <c r="D77" s="3"/>
      <c r="E77" s="3"/>
      <c r="F77" s="3"/>
      <c r="G77" s="3"/>
    </row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3">
    <mergeCell ref="J1:M1"/>
    <mergeCell ref="D2:E2"/>
    <mergeCell ref="D3:E3"/>
    <mergeCell ref="D4:E4"/>
    <mergeCell ref="D6:E6"/>
    <mergeCell ref="D7:E7"/>
    <mergeCell ref="D8:E8"/>
    <mergeCell ref="D10:E10"/>
    <mergeCell ref="D11:E11"/>
    <mergeCell ref="D12:E12"/>
    <mergeCell ref="D14:E14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65:B65"/>
    <mergeCell ref="A66:B66"/>
    <mergeCell ref="A67:B67"/>
    <mergeCell ref="A68:B68"/>
    <mergeCell ref="A69:B69"/>
    <mergeCell ref="A58:B58"/>
    <mergeCell ref="A59:B59"/>
    <mergeCell ref="A60:B60"/>
    <mergeCell ref="A61:B61"/>
    <mergeCell ref="A62:B62"/>
    <mergeCell ref="A63:B63"/>
    <mergeCell ref="A64:B64"/>
  </mergeCells>
  <conditionalFormatting sqref="K19:K45">
    <cfRule type="cellIs" dxfId="1" priority="1" operator="greaterThan">
      <formula>$B$3</formula>
    </cfRule>
  </conditionalFormatting>
  <printOptions/>
  <pageMargins bottom="1.0" footer="0.0" header="0.0" left="0.75" right="0.75" top="1.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25"/>
    <col customWidth="1" min="2" max="2" width="20.13"/>
    <col customWidth="1" min="3" max="3" width="15.0"/>
    <col customWidth="1" min="4" max="4" width="15.63"/>
    <col customWidth="1" min="5" max="5" width="21.75"/>
    <col customWidth="1" min="6" max="6" width="18.25"/>
    <col customWidth="1" min="7" max="7" width="16.63"/>
    <col customWidth="1" min="8" max="8" width="23.75"/>
    <col customWidth="1" min="9" max="12" width="14.13"/>
    <col customWidth="1" min="13" max="13" width="10.0"/>
    <col customWidth="1" min="14" max="26" width="8.63"/>
  </cols>
  <sheetData>
    <row r="1" ht="12.75" customHeight="1">
      <c r="A1" s="310" t="s">
        <v>182</v>
      </c>
      <c r="J1" s="311" t="s">
        <v>118</v>
      </c>
      <c r="K1" s="167"/>
      <c r="L1" s="167"/>
      <c r="M1" s="79"/>
    </row>
    <row r="2" ht="12.75" customHeight="1">
      <c r="D2" s="312" t="s">
        <v>119</v>
      </c>
      <c r="E2" s="167"/>
      <c r="F2" s="345">
        <f>'Input Data'!E12</f>
        <v>7500</v>
      </c>
      <c r="G2" s="346"/>
      <c r="H2" s="315" t="s">
        <v>183</v>
      </c>
      <c r="J2" s="316" t="s">
        <v>115</v>
      </c>
      <c r="K2" s="317" t="s">
        <v>87</v>
      </c>
      <c r="L2" s="317" t="s">
        <v>88</v>
      </c>
      <c r="M2" s="318" t="s">
        <v>86</v>
      </c>
    </row>
    <row r="3" ht="12.75" customHeight="1">
      <c r="A3" s="319" t="s">
        <v>121</v>
      </c>
      <c r="B3" s="320">
        <f>'Sales Goals'!I9</f>
        <v>125926.8911</v>
      </c>
      <c r="D3" s="321" t="s">
        <v>122</v>
      </c>
      <c r="E3" s="172"/>
      <c r="F3" s="348">
        <f>B3*B9</f>
        <v>80593.21033</v>
      </c>
      <c r="G3" s="349" t="s">
        <v>123</v>
      </c>
      <c r="H3" s="324">
        <f>'Input Data'!E13</f>
        <v>0.5</v>
      </c>
      <c r="I3" s="3"/>
      <c r="J3" s="325"/>
      <c r="K3" s="326"/>
      <c r="L3" s="326"/>
      <c r="M3" s="327"/>
    </row>
    <row r="4" ht="12.75" customHeight="1">
      <c r="B4" s="36"/>
      <c r="D4" s="328" t="s">
        <v>124</v>
      </c>
      <c r="E4" s="108"/>
      <c r="F4" s="387">
        <f>F3/F2</f>
        <v>10.74576138</v>
      </c>
      <c r="G4" s="330"/>
      <c r="H4" s="331">
        <f>F4/H3</f>
        <v>21.49152276</v>
      </c>
      <c r="I4" s="3"/>
      <c r="J4" s="325">
        <f>H4/'Input Data'!G30</f>
        <v>0.3907549592</v>
      </c>
      <c r="K4" s="326"/>
      <c r="L4" s="326"/>
      <c r="M4" s="327">
        <f>F4/'Input Data'!G34</f>
        <v>0.488443699</v>
      </c>
    </row>
    <row r="5" ht="12.75" customHeight="1">
      <c r="A5" s="332" t="s">
        <v>125</v>
      </c>
      <c r="B5" s="320">
        <f>((B3/31)*7)/'Break-even'!C25</f>
        <v>5687.02089</v>
      </c>
      <c r="F5" s="36"/>
      <c r="G5" s="36"/>
      <c r="H5" s="36"/>
      <c r="J5" s="325"/>
      <c r="K5" s="326"/>
      <c r="L5" s="326"/>
      <c r="M5" s="327"/>
    </row>
    <row r="6" ht="12.75" customHeight="1">
      <c r="B6" s="36"/>
      <c r="D6" s="312" t="s">
        <v>126</v>
      </c>
      <c r="E6" s="167"/>
      <c r="F6" s="345">
        <f>'Input Data'!E16</f>
        <v>375</v>
      </c>
      <c r="G6" s="346"/>
      <c r="H6" s="333" t="s">
        <v>127</v>
      </c>
      <c r="J6" s="334"/>
      <c r="K6" s="326"/>
      <c r="L6" s="326"/>
      <c r="M6" s="327"/>
    </row>
    <row r="7" ht="12.75" customHeight="1">
      <c r="A7" s="335" t="s">
        <v>35</v>
      </c>
      <c r="B7" s="320">
        <f>Budget!C36</f>
        <v>4885.054388</v>
      </c>
      <c r="D7" s="321" t="s">
        <v>128</v>
      </c>
      <c r="E7" s="172"/>
      <c r="F7" s="348">
        <f>B3*B11</f>
        <v>11333.4202</v>
      </c>
      <c r="G7" s="349" t="s">
        <v>123</v>
      </c>
      <c r="H7" s="324">
        <f>'Input Data'!E17</f>
        <v>1</v>
      </c>
      <c r="J7" s="325"/>
      <c r="K7" s="336"/>
      <c r="L7" s="326"/>
      <c r="M7" s="327"/>
    </row>
    <row r="8" ht="12.75" customHeight="1">
      <c r="B8" s="36"/>
      <c r="D8" s="328" t="s">
        <v>129</v>
      </c>
      <c r="E8" s="108"/>
      <c r="F8" s="351">
        <f>F7/F6</f>
        <v>30.22245387</v>
      </c>
      <c r="G8" s="330"/>
      <c r="H8" s="338">
        <f> F8/H7</f>
        <v>30.22245387</v>
      </c>
      <c r="J8" s="325"/>
      <c r="K8" s="326">
        <f>H8/'Input Data'!G31</f>
        <v>0.4579159678</v>
      </c>
      <c r="L8" s="326"/>
      <c r="M8" s="327"/>
    </row>
    <row r="9" ht="12.75" customHeight="1">
      <c r="A9" s="339" t="s">
        <v>130</v>
      </c>
      <c r="B9" s="340">
        <f>'Input Data'!E6</f>
        <v>0.64</v>
      </c>
      <c r="F9" s="36"/>
      <c r="G9" s="36"/>
      <c r="H9" s="36"/>
      <c r="J9" s="325"/>
      <c r="K9" s="326"/>
      <c r="L9" s="326"/>
      <c r="M9" s="327"/>
    </row>
    <row r="10" ht="12.75" customHeight="1">
      <c r="B10" s="36"/>
      <c r="D10" s="312" t="s">
        <v>131</v>
      </c>
      <c r="E10" s="167"/>
      <c r="F10" s="345">
        <f>'Input Data'!E20</f>
        <v>125</v>
      </c>
      <c r="G10" s="346"/>
      <c r="H10" s="333" t="s">
        <v>127</v>
      </c>
      <c r="J10" s="325"/>
      <c r="K10" s="326"/>
      <c r="L10" s="326"/>
      <c r="M10" s="327"/>
    </row>
    <row r="11" ht="12.75" customHeight="1">
      <c r="A11" s="339" t="s">
        <v>132</v>
      </c>
      <c r="B11" s="340">
        <f>'Input Data'!E7</f>
        <v>0.09</v>
      </c>
      <c r="D11" s="321" t="s">
        <v>133</v>
      </c>
      <c r="E11" s="172"/>
      <c r="F11" s="348">
        <f>B3*B13</f>
        <v>11333.4202</v>
      </c>
      <c r="G11" s="349" t="s">
        <v>123</v>
      </c>
      <c r="H11" s="324">
        <f>'Input Data'!E21</f>
        <v>1</v>
      </c>
      <c r="J11" s="325"/>
      <c r="K11" s="326"/>
      <c r="L11" s="326"/>
      <c r="M11" s="327"/>
    </row>
    <row r="12" ht="12.75" customHeight="1">
      <c r="A12" s="278"/>
      <c r="B12" s="342"/>
      <c r="D12" s="328" t="s">
        <v>134</v>
      </c>
      <c r="E12" s="169"/>
      <c r="F12" s="351">
        <f>F11/F10</f>
        <v>90.66736162</v>
      </c>
      <c r="G12" s="330"/>
      <c r="H12" s="338">
        <f> F12/H11</f>
        <v>90.66736162</v>
      </c>
      <c r="J12" s="325"/>
      <c r="K12" s="326">
        <f>H12/'Input Data'!G32</f>
        <v>0.9697044024</v>
      </c>
      <c r="L12" s="326"/>
      <c r="M12" s="327"/>
    </row>
    <row r="13" ht="12.75" customHeight="1">
      <c r="A13" s="328" t="s">
        <v>135</v>
      </c>
      <c r="B13" s="340">
        <f>'Input Data'!E8</f>
        <v>0.09</v>
      </c>
      <c r="J13" s="325"/>
      <c r="K13" s="326"/>
      <c r="L13" s="326"/>
      <c r="M13" s="327"/>
    </row>
    <row r="14" ht="12.75" customHeight="1">
      <c r="D14" s="312" t="s">
        <v>136</v>
      </c>
      <c r="E14" s="79"/>
      <c r="F14" s="345">
        <f>'Input Data'!E24</f>
        <v>750</v>
      </c>
      <c r="G14" s="346"/>
      <c r="H14" s="333" t="s">
        <v>127</v>
      </c>
      <c r="J14" s="325"/>
      <c r="K14" s="326"/>
      <c r="L14" s="326"/>
      <c r="M14" s="327"/>
    </row>
    <row r="15" ht="12.75" customHeight="1">
      <c r="A15" s="328" t="s">
        <v>137</v>
      </c>
      <c r="B15" s="324">
        <f>'Input Data'!E9</f>
        <v>0.18</v>
      </c>
      <c r="D15" s="347" t="s">
        <v>128</v>
      </c>
      <c r="E15" s="165"/>
      <c r="F15" s="348">
        <f>B3*B15</f>
        <v>22666.84041</v>
      </c>
      <c r="G15" s="349" t="s">
        <v>123</v>
      </c>
      <c r="H15" s="324">
        <f>'Input Data'!E25</f>
        <v>1</v>
      </c>
      <c r="J15" s="325"/>
      <c r="K15" s="326"/>
      <c r="L15" s="326"/>
      <c r="M15" s="327"/>
    </row>
    <row r="16" ht="12.75" customHeight="1">
      <c r="D16" s="328" t="s">
        <v>138</v>
      </c>
      <c r="E16" s="350"/>
      <c r="F16" s="351">
        <f>F15/F14</f>
        <v>30.22245387</v>
      </c>
      <c r="G16" s="330"/>
      <c r="H16" s="338">
        <f> F16/H15</f>
        <v>30.22245387</v>
      </c>
      <c r="J16" s="352"/>
      <c r="K16" s="388"/>
      <c r="L16" s="353" t="str">
        <f>H16/'Input Data'!G33</f>
        <v>#DIV/0!</v>
      </c>
      <c r="M16" s="354"/>
    </row>
    <row r="17" ht="12.75" customHeight="1"/>
    <row r="18" ht="12.75" customHeight="1">
      <c r="B18" s="355" t="s">
        <v>139</v>
      </c>
      <c r="C18" s="356" t="s">
        <v>140</v>
      </c>
      <c r="D18" s="356" t="s">
        <v>141</v>
      </c>
      <c r="E18" s="357" t="s">
        <v>184</v>
      </c>
      <c r="F18" s="356" t="s">
        <v>143</v>
      </c>
      <c r="G18" s="356" t="s">
        <v>185</v>
      </c>
      <c r="H18" s="356" t="s">
        <v>145</v>
      </c>
      <c r="I18" s="356" t="s">
        <v>146</v>
      </c>
      <c r="J18" s="356" t="s">
        <v>147</v>
      </c>
      <c r="K18" s="356" t="s">
        <v>148</v>
      </c>
      <c r="L18" s="356" t="s">
        <v>149</v>
      </c>
    </row>
    <row r="19" ht="12.75" customHeight="1">
      <c r="A19" s="36" t="s">
        <v>150</v>
      </c>
      <c r="B19" s="358">
        <f t="shared" ref="B19:B45" si="2">$B$5*$B$11</f>
        <v>511.8318801</v>
      </c>
      <c r="C19" s="305">
        <v>0.0</v>
      </c>
      <c r="D19" s="359">
        <f t="shared" ref="D19:D45" si="3">$B$5*$B$9</f>
        <v>3639.69337</v>
      </c>
      <c r="E19" s="305">
        <v>0.0</v>
      </c>
      <c r="F19" s="359">
        <f t="shared" ref="F19:F45" si="4">$B$5*$B$13</f>
        <v>511.8318801</v>
      </c>
      <c r="G19" s="305">
        <v>0.0</v>
      </c>
      <c r="H19" s="359">
        <f t="shared" ref="H19:H45" si="5">$B$5*$B$15</f>
        <v>1023.66376</v>
      </c>
      <c r="I19" s="305">
        <v>0.0</v>
      </c>
      <c r="J19" s="359">
        <f t="shared" ref="J19:K19" si="1">B19+D19+F19+H19</f>
        <v>5687.02089</v>
      </c>
      <c r="K19" s="360">
        <f t="shared" si="1"/>
        <v>0</v>
      </c>
      <c r="L19" s="361">
        <f t="shared" ref="L19:L45" si="7">J19-K19</f>
        <v>5687.02089</v>
      </c>
    </row>
    <row r="20" ht="12.75" customHeight="1">
      <c r="A20" s="36" t="s">
        <v>151</v>
      </c>
      <c r="B20" s="362">
        <f t="shared" si="2"/>
        <v>511.8318801</v>
      </c>
      <c r="C20" s="363">
        <v>0.0</v>
      </c>
      <c r="D20" s="364">
        <f t="shared" si="3"/>
        <v>3639.69337</v>
      </c>
      <c r="E20" s="363">
        <v>0.0</v>
      </c>
      <c r="F20" s="364">
        <f t="shared" si="4"/>
        <v>511.8318801</v>
      </c>
      <c r="G20" s="363">
        <v>0.0</v>
      </c>
      <c r="H20" s="364">
        <f t="shared" si="5"/>
        <v>1023.66376</v>
      </c>
      <c r="I20" s="363">
        <v>0.0</v>
      </c>
      <c r="J20" s="364">
        <f t="shared" ref="J20:K20" si="6">J19+B20+D20+F20+H20</f>
        <v>11374.04178</v>
      </c>
      <c r="K20" s="364">
        <f t="shared" si="6"/>
        <v>0</v>
      </c>
      <c r="L20" s="365">
        <f t="shared" si="7"/>
        <v>11374.04178</v>
      </c>
    </row>
    <row r="21" ht="12.75" customHeight="1">
      <c r="A21" s="36" t="s">
        <v>152</v>
      </c>
      <c r="B21" s="362">
        <f t="shared" si="2"/>
        <v>511.8318801</v>
      </c>
      <c r="C21" s="363">
        <v>0.0</v>
      </c>
      <c r="D21" s="364">
        <f t="shared" si="3"/>
        <v>3639.69337</v>
      </c>
      <c r="E21" s="363">
        <v>0.0</v>
      </c>
      <c r="F21" s="364">
        <f t="shared" si="4"/>
        <v>511.8318801</v>
      </c>
      <c r="G21" s="363">
        <v>0.0</v>
      </c>
      <c r="H21" s="364">
        <f t="shared" si="5"/>
        <v>1023.66376</v>
      </c>
      <c r="I21" s="363">
        <v>0.0</v>
      </c>
      <c r="J21" s="364">
        <f t="shared" ref="J21:K21" si="8">J20+B21+D21+F21+H21</f>
        <v>17061.06267</v>
      </c>
      <c r="K21" s="364">
        <f t="shared" si="8"/>
        <v>0</v>
      </c>
      <c r="L21" s="365">
        <f t="shared" si="7"/>
        <v>17061.06267</v>
      </c>
    </row>
    <row r="22" ht="12.75" customHeight="1">
      <c r="A22" s="36" t="s">
        <v>153</v>
      </c>
      <c r="B22" s="362">
        <f t="shared" si="2"/>
        <v>511.8318801</v>
      </c>
      <c r="C22" s="363">
        <v>0.0</v>
      </c>
      <c r="D22" s="364">
        <f t="shared" si="3"/>
        <v>3639.69337</v>
      </c>
      <c r="E22" s="363">
        <v>0.0</v>
      </c>
      <c r="F22" s="364">
        <f t="shared" si="4"/>
        <v>511.8318801</v>
      </c>
      <c r="G22" s="363">
        <v>0.0</v>
      </c>
      <c r="H22" s="364">
        <f t="shared" si="5"/>
        <v>1023.66376</v>
      </c>
      <c r="I22" s="363">
        <v>0.0</v>
      </c>
      <c r="J22" s="364">
        <f t="shared" ref="J22:K22" si="9">J21+B22+D22+F22+H22</f>
        <v>22748.08356</v>
      </c>
      <c r="K22" s="364">
        <f t="shared" si="9"/>
        <v>0</v>
      </c>
      <c r="L22" s="365">
        <f t="shared" si="7"/>
        <v>22748.08356</v>
      </c>
    </row>
    <row r="23" ht="12.75" customHeight="1">
      <c r="A23" s="36" t="s">
        <v>154</v>
      </c>
      <c r="B23" s="362">
        <f t="shared" si="2"/>
        <v>511.8318801</v>
      </c>
      <c r="C23" s="363">
        <v>0.0</v>
      </c>
      <c r="D23" s="364">
        <f t="shared" si="3"/>
        <v>3639.69337</v>
      </c>
      <c r="E23" s="363">
        <v>0.0</v>
      </c>
      <c r="F23" s="364">
        <f t="shared" si="4"/>
        <v>511.8318801</v>
      </c>
      <c r="G23" s="363">
        <v>0.0</v>
      </c>
      <c r="H23" s="364">
        <f t="shared" si="5"/>
        <v>1023.66376</v>
      </c>
      <c r="I23" s="363">
        <v>0.0</v>
      </c>
      <c r="J23" s="364">
        <f t="shared" ref="J23:K23" si="10">J22+B23+D23+F23+H23</f>
        <v>28435.10445</v>
      </c>
      <c r="K23" s="364">
        <f t="shared" si="10"/>
        <v>0</v>
      </c>
      <c r="L23" s="365">
        <f t="shared" si="7"/>
        <v>28435.10445</v>
      </c>
    </row>
    <row r="24" ht="12.75" customHeight="1">
      <c r="A24" s="36" t="s">
        <v>155</v>
      </c>
      <c r="B24" s="362">
        <f t="shared" si="2"/>
        <v>511.8318801</v>
      </c>
      <c r="C24" s="363">
        <v>0.0</v>
      </c>
      <c r="D24" s="364">
        <f t="shared" si="3"/>
        <v>3639.69337</v>
      </c>
      <c r="E24" s="363">
        <v>0.0</v>
      </c>
      <c r="F24" s="364">
        <f t="shared" si="4"/>
        <v>511.8318801</v>
      </c>
      <c r="G24" s="363">
        <v>0.0</v>
      </c>
      <c r="H24" s="364">
        <f t="shared" si="5"/>
        <v>1023.66376</v>
      </c>
      <c r="I24" s="363">
        <v>0.0</v>
      </c>
      <c r="J24" s="364">
        <f t="shared" ref="J24:K24" si="11">J23+B24+D24+F24+H24</f>
        <v>34122.12534</v>
      </c>
      <c r="K24" s="364">
        <f t="shared" si="11"/>
        <v>0</v>
      </c>
      <c r="L24" s="365">
        <f t="shared" si="7"/>
        <v>34122.12534</v>
      </c>
    </row>
    <row r="25" ht="12.75" customHeight="1">
      <c r="A25" s="36" t="s">
        <v>156</v>
      </c>
      <c r="B25" s="362">
        <f t="shared" si="2"/>
        <v>511.8318801</v>
      </c>
      <c r="C25" s="363">
        <v>0.0</v>
      </c>
      <c r="D25" s="364">
        <f t="shared" si="3"/>
        <v>3639.69337</v>
      </c>
      <c r="E25" s="363">
        <v>0.0</v>
      </c>
      <c r="F25" s="364">
        <f t="shared" si="4"/>
        <v>511.8318801</v>
      </c>
      <c r="G25" s="363">
        <v>0.0</v>
      </c>
      <c r="H25" s="364">
        <f t="shared" si="5"/>
        <v>1023.66376</v>
      </c>
      <c r="I25" s="363">
        <v>0.0</v>
      </c>
      <c r="J25" s="364">
        <f t="shared" ref="J25:K25" si="12">J24+B25+D25+F25+H25</f>
        <v>39809.14623</v>
      </c>
      <c r="K25" s="364">
        <f t="shared" si="12"/>
        <v>0</v>
      </c>
      <c r="L25" s="365">
        <f t="shared" si="7"/>
        <v>39809.14623</v>
      </c>
    </row>
    <row r="26" ht="12.75" customHeight="1">
      <c r="A26" s="36" t="s">
        <v>157</v>
      </c>
      <c r="B26" s="362">
        <f t="shared" si="2"/>
        <v>511.8318801</v>
      </c>
      <c r="C26" s="363">
        <v>0.0</v>
      </c>
      <c r="D26" s="364">
        <f t="shared" si="3"/>
        <v>3639.69337</v>
      </c>
      <c r="E26" s="363">
        <v>0.0</v>
      </c>
      <c r="F26" s="364">
        <f t="shared" si="4"/>
        <v>511.8318801</v>
      </c>
      <c r="G26" s="363">
        <v>0.0</v>
      </c>
      <c r="H26" s="364">
        <f t="shared" si="5"/>
        <v>1023.66376</v>
      </c>
      <c r="I26" s="363">
        <v>0.0</v>
      </c>
      <c r="J26" s="364">
        <f t="shared" ref="J26:K26" si="13">J25+B26+D26+F26+H26</f>
        <v>45496.16712</v>
      </c>
      <c r="K26" s="364">
        <f t="shared" si="13"/>
        <v>0</v>
      </c>
      <c r="L26" s="365">
        <f t="shared" si="7"/>
        <v>45496.16712</v>
      </c>
    </row>
    <row r="27" ht="12.75" customHeight="1">
      <c r="A27" s="36" t="s">
        <v>158</v>
      </c>
      <c r="B27" s="362">
        <f t="shared" si="2"/>
        <v>511.8318801</v>
      </c>
      <c r="C27" s="363">
        <v>0.0</v>
      </c>
      <c r="D27" s="364">
        <f t="shared" si="3"/>
        <v>3639.69337</v>
      </c>
      <c r="E27" s="363">
        <v>0.0</v>
      </c>
      <c r="F27" s="364">
        <f t="shared" si="4"/>
        <v>511.8318801</v>
      </c>
      <c r="G27" s="363">
        <v>0.0</v>
      </c>
      <c r="H27" s="364">
        <f t="shared" si="5"/>
        <v>1023.66376</v>
      </c>
      <c r="I27" s="363">
        <v>0.0</v>
      </c>
      <c r="J27" s="364">
        <f t="shared" ref="J27:K27" si="14">J26+B27+D27+F27+H27</f>
        <v>51183.18801</v>
      </c>
      <c r="K27" s="364">
        <f t="shared" si="14"/>
        <v>0</v>
      </c>
      <c r="L27" s="365">
        <f t="shared" si="7"/>
        <v>51183.18801</v>
      </c>
    </row>
    <row r="28" ht="12.75" customHeight="1">
      <c r="A28" s="36" t="s">
        <v>159</v>
      </c>
      <c r="B28" s="362">
        <f t="shared" si="2"/>
        <v>511.8318801</v>
      </c>
      <c r="C28" s="363">
        <v>0.0</v>
      </c>
      <c r="D28" s="364">
        <f t="shared" si="3"/>
        <v>3639.69337</v>
      </c>
      <c r="E28" s="363">
        <v>0.0</v>
      </c>
      <c r="F28" s="364">
        <f t="shared" si="4"/>
        <v>511.8318801</v>
      </c>
      <c r="G28" s="363">
        <v>0.0</v>
      </c>
      <c r="H28" s="364">
        <f t="shared" si="5"/>
        <v>1023.66376</v>
      </c>
      <c r="I28" s="363">
        <v>0.0</v>
      </c>
      <c r="J28" s="364">
        <f t="shared" ref="J28:K28" si="15">J27+B28+D28+F28+H28</f>
        <v>56870.2089</v>
      </c>
      <c r="K28" s="364">
        <f t="shared" si="15"/>
        <v>0</v>
      </c>
      <c r="L28" s="365">
        <f t="shared" si="7"/>
        <v>56870.2089</v>
      </c>
    </row>
    <row r="29" ht="12.75" customHeight="1">
      <c r="A29" s="36" t="s">
        <v>160</v>
      </c>
      <c r="B29" s="362">
        <f t="shared" si="2"/>
        <v>511.8318801</v>
      </c>
      <c r="C29" s="363">
        <v>0.0</v>
      </c>
      <c r="D29" s="364">
        <f t="shared" si="3"/>
        <v>3639.69337</v>
      </c>
      <c r="E29" s="363">
        <v>0.0</v>
      </c>
      <c r="F29" s="364">
        <f t="shared" si="4"/>
        <v>511.8318801</v>
      </c>
      <c r="G29" s="363">
        <v>0.0</v>
      </c>
      <c r="H29" s="364">
        <f t="shared" si="5"/>
        <v>1023.66376</v>
      </c>
      <c r="I29" s="363">
        <v>0.0</v>
      </c>
      <c r="J29" s="364">
        <f t="shared" ref="J29:K29" si="16">J28+B29+D29+F29+H29</f>
        <v>62557.22979</v>
      </c>
      <c r="K29" s="364">
        <f t="shared" si="16"/>
        <v>0</v>
      </c>
      <c r="L29" s="365">
        <f t="shared" si="7"/>
        <v>62557.22979</v>
      </c>
    </row>
    <row r="30" ht="12.75" customHeight="1">
      <c r="A30" s="36" t="s">
        <v>161</v>
      </c>
      <c r="B30" s="362">
        <f t="shared" si="2"/>
        <v>511.8318801</v>
      </c>
      <c r="C30" s="363">
        <v>0.0</v>
      </c>
      <c r="D30" s="364">
        <f t="shared" si="3"/>
        <v>3639.69337</v>
      </c>
      <c r="E30" s="363">
        <v>0.0</v>
      </c>
      <c r="F30" s="364">
        <f t="shared" si="4"/>
        <v>511.8318801</v>
      </c>
      <c r="G30" s="363">
        <v>0.0</v>
      </c>
      <c r="H30" s="364">
        <f t="shared" si="5"/>
        <v>1023.66376</v>
      </c>
      <c r="I30" s="363">
        <v>0.0</v>
      </c>
      <c r="J30" s="364">
        <f t="shared" ref="J30:K30" si="17">J29+B30+D30+F30+H30</f>
        <v>68244.25068</v>
      </c>
      <c r="K30" s="364">
        <f t="shared" si="17"/>
        <v>0</v>
      </c>
      <c r="L30" s="365">
        <f t="shared" si="7"/>
        <v>68244.25068</v>
      </c>
    </row>
    <row r="31" ht="12.75" customHeight="1">
      <c r="A31" s="36" t="s">
        <v>162</v>
      </c>
      <c r="B31" s="362">
        <f t="shared" si="2"/>
        <v>511.8318801</v>
      </c>
      <c r="C31" s="363">
        <v>0.0</v>
      </c>
      <c r="D31" s="364">
        <f t="shared" si="3"/>
        <v>3639.69337</v>
      </c>
      <c r="E31" s="363">
        <v>0.0</v>
      </c>
      <c r="F31" s="364">
        <f t="shared" si="4"/>
        <v>511.8318801</v>
      </c>
      <c r="G31" s="363">
        <v>0.0</v>
      </c>
      <c r="H31" s="364">
        <f t="shared" si="5"/>
        <v>1023.66376</v>
      </c>
      <c r="I31" s="363">
        <v>0.0</v>
      </c>
      <c r="J31" s="364">
        <f t="shared" ref="J31:K31" si="18">J30+B31+D31+F31+H31</f>
        <v>73931.27157</v>
      </c>
      <c r="K31" s="364">
        <f t="shared" si="18"/>
        <v>0</v>
      </c>
      <c r="L31" s="365">
        <f t="shared" si="7"/>
        <v>73931.27157</v>
      </c>
    </row>
    <row r="32" ht="12.75" customHeight="1">
      <c r="A32" s="36" t="s">
        <v>163</v>
      </c>
      <c r="B32" s="362">
        <f t="shared" si="2"/>
        <v>511.8318801</v>
      </c>
      <c r="C32" s="363">
        <v>0.0</v>
      </c>
      <c r="D32" s="364">
        <f t="shared" si="3"/>
        <v>3639.69337</v>
      </c>
      <c r="E32" s="363">
        <v>0.0</v>
      </c>
      <c r="F32" s="364">
        <f t="shared" si="4"/>
        <v>511.8318801</v>
      </c>
      <c r="G32" s="363">
        <v>0.0</v>
      </c>
      <c r="H32" s="364">
        <f t="shared" si="5"/>
        <v>1023.66376</v>
      </c>
      <c r="I32" s="363">
        <v>0.0</v>
      </c>
      <c r="J32" s="364">
        <f t="shared" ref="J32:K32" si="19">J31+B32+D32+F32+H32</f>
        <v>79618.29246</v>
      </c>
      <c r="K32" s="364">
        <f t="shared" si="19"/>
        <v>0</v>
      </c>
      <c r="L32" s="365">
        <f t="shared" si="7"/>
        <v>79618.29246</v>
      </c>
    </row>
    <row r="33" ht="12.75" customHeight="1">
      <c r="A33" s="36" t="s">
        <v>164</v>
      </c>
      <c r="B33" s="362">
        <f t="shared" si="2"/>
        <v>511.8318801</v>
      </c>
      <c r="C33" s="363">
        <v>0.0</v>
      </c>
      <c r="D33" s="364">
        <f t="shared" si="3"/>
        <v>3639.69337</v>
      </c>
      <c r="E33" s="363">
        <v>0.0</v>
      </c>
      <c r="F33" s="364">
        <f t="shared" si="4"/>
        <v>511.8318801</v>
      </c>
      <c r="G33" s="363">
        <v>0.0</v>
      </c>
      <c r="H33" s="364">
        <f t="shared" si="5"/>
        <v>1023.66376</v>
      </c>
      <c r="I33" s="363">
        <v>0.0</v>
      </c>
      <c r="J33" s="364">
        <f t="shared" ref="J33:K33" si="20">J32+B33+D33+F33+H33</f>
        <v>85305.31336</v>
      </c>
      <c r="K33" s="364">
        <f t="shared" si="20"/>
        <v>0</v>
      </c>
      <c r="L33" s="365">
        <f t="shared" si="7"/>
        <v>85305.31336</v>
      </c>
    </row>
    <row r="34" ht="12.75" customHeight="1">
      <c r="A34" s="36" t="s">
        <v>165</v>
      </c>
      <c r="B34" s="362">
        <f t="shared" si="2"/>
        <v>511.8318801</v>
      </c>
      <c r="C34" s="363">
        <v>0.0</v>
      </c>
      <c r="D34" s="364">
        <f t="shared" si="3"/>
        <v>3639.69337</v>
      </c>
      <c r="E34" s="363">
        <v>0.0</v>
      </c>
      <c r="F34" s="364">
        <f t="shared" si="4"/>
        <v>511.8318801</v>
      </c>
      <c r="G34" s="363">
        <v>0.0</v>
      </c>
      <c r="H34" s="364">
        <f t="shared" si="5"/>
        <v>1023.66376</v>
      </c>
      <c r="I34" s="363">
        <v>0.0</v>
      </c>
      <c r="J34" s="364">
        <f t="shared" ref="J34:K34" si="21">J33+B34+D34+F34+H34</f>
        <v>90992.33425</v>
      </c>
      <c r="K34" s="364">
        <f t="shared" si="21"/>
        <v>0</v>
      </c>
      <c r="L34" s="365">
        <f t="shared" si="7"/>
        <v>90992.33425</v>
      </c>
    </row>
    <row r="35" ht="12.75" customHeight="1">
      <c r="A35" s="36" t="s">
        <v>166</v>
      </c>
      <c r="B35" s="362">
        <f t="shared" si="2"/>
        <v>511.8318801</v>
      </c>
      <c r="C35" s="363">
        <v>0.0</v>
      </c>
      <c r="D35" s="364">
        <f t="shared" si="3"/>
        <v>3639.69337</v>
      </c>
      <c r="E35" s="363">
        <v>0.0</v>
      </c>
      <c r="F35" s="364">
        <f t="shared" si="4"/>
        <v>511.8318801</v>
      </c>
      <c r="G35" s="363">
        <v>0.0</v>
      </c>
      <c r="H35" s="364">
        <f t="shared" si="5"/>
        <v>1023.66376</v>
      </c>
      <c r="I35" s="363">
        <v>0.0</v>
      </c>
      <c r="J35" s="364">
        <f t="shared" ref="J35:K35" si="22">J34+B35+D35+F35+H35</f>
        <v>96679.35514</v>
      </c>
      <c r="K35" s="364">
        <f t="shared" si="22"/>
        <v>0</v>
      </c>
      <c r="L35" s="365">
        <f t="shared" si="7"/>
        <v>96679.35514</v>
      </c>
    </row>
    <row r="36" ht="12.75" customHeight="1">
      <c r="A36" s="36" t="s">
        <v>167</v>
      </c>
      <c r="B36" s="362">
        <f t="shared" si="2"/>
        <v>511.8318801</v>
      </c>
      <c r="C36" s="363">
        <v>0.0</v>
      </c>
      <c r="D36" s="364">
        <f t="shared" si="3"/>
        <v>3639.69337</v>
      </c>
      <c r="E36" s="363">
        <v>0.0</v>
      </c>
      <c r="F36" s="364">
        <f t="shared" si="4"/>
        <v>511.8318801</v>
      </c>
      <c r="G36" s="363">
        <v>0.0</v>
      </c>
      <c r="H36" s="364">
        <f t="shared" si="5"/>
        <v>1023.66376</v>
      </c>
      <c r="I36" s="363">
        <v>0.0</v>
      </c>
      <c r="J36" s="364">
        <f t="shared" ref="J36:K36" si="23">J35+B36+D36+F36+H36</f>
        <v>102366.376</v>
      </c>
      <c r="K36" s="364">
        <f t="shared" si="23"/>
        <v>0</v>
      </c>
      <c r="L36" s="365">
        <f t="shared" si="7"/>
        <v>102366.376</v>
      </c>
    </row>
    <row r="37" ht="12.75" customHeight="1">
      <c r="A37" s="36" t="s">
        <v>168</v>
      </c>
      <c r="B37" s="362">
        <f t="shared" si="2"/>
        <v>511.8318801</v>
      </c>
      <c r="C37" s="363">
        <v>0.0</v>
      </c>
      <c r="D37" s="364">
        <f t="shared" si="3"/>
        <v>3639.69337</v>
      </c>
      <c r="E37" s="363">
        <v>0.0</v>
      </c>
      <c r="F37" s="364">
        <f t="shared" si="4"/>
        <v>511.8318801</v>
      </c>
      <c r="G37" s="363">
        <v>0.0</v>
      </c>
      <c r="H37" s="364">
        <f t="shared" si="5"/>
        <v>1023.66376</v>
      </c>
      <c r="I37" s="363">
        <v>0.0</v>
      </c>
      <c r="J37" s="364">
        <f t="shared" ref="J37:K37" si="24">J36+B37+D37+F37+H37</f>
        <v>108053.3969</v>
      </c>
      <c r="K37" s="364">
        <f t="shared" si="24"/>
        <v>0</v>
      </c>
      <c r="L37" s="365">
        <f t="shared" si="7"/>
        <v>108053.3969</v>
      </c>
    </row>
    <row r="38" ht="12.75" customHeight="1">
      <c r="A38" s="36" t="s">
        <v>169</v>
      </c>
      <c r="B38" s="362">
        <f t="shared" si="2"/>
        <v>511.8318801</v>
      </c>
      <c r="C38" s="363">
        <v>0.0</v>
      </c>
      <c r="D38" s="364">
        <f t="shared" si="3"/>
        <v>3639.69337</v>
      </c>
      <c r="E38" s="363">
        <v>0.0</v>
      </c>
      <c r="F38" s="364">
        <f t="shared" si="4"/>
        <v>511.8318801</v>
      </c>
      <c r="G38" s="363">
        <v>0.0</v>
      </c>
      <c r="H38" s="364">
        <f t="shared" si="5"/>
        <v>1023.66376</v>
      </c>
      <c r="I38" s="363">
        <v>0.0</v>
      </c>
      <c r="J38" s="364">
        <f t="shared" ref="J38:K38" si="25">J37+B38+D38+F38+H38</f>
        <v>113740.4178</v>
      </c>
      <c r="K38" s="364">
        <f t="shared" si="25"/>
        <v>0</v>
      </c>
      <c r="L38" s="365">
        <f t="shared" si="7"/>
        <v>113740.4178</v>
      </c>
    </row>
    <row r="39" ht="12.75" customHeight="1">
      <c r="A39" s="36" t="s">
        <v>170</v>
      </c>
      <c r="B39" s="362">
        <f t="shared" si="2"/>
        <v>511.8318801</v>
      </c>
      <c r="C39" s="363">
        <v>0.0</v>
      </c>
      <c r="D39" s="364">
        <f t="shared" si="3"/>
        <v>3639.69337</v>
      </c>
      <c r="E39" s="363">
        <v>0.0</v>
      </c>
      <c r="F39" s="364">
        <f t="shared" si="4"/>
        <v>511.8318801</v>
      </c>
      <c r="G39" s="363">
        <v>0.0</v>
      </c>
      <c r="H39" s="364">
        <f t="shared" si="5"/>
        <v>1023.66376</v>
      </c>
      <c r="I39" s="363">
        <v>0.0</v>
      </c>
      <c r="J39" s="364">
        <f t="shared" ref="J39:K39" si="26">J38+B39+D39+F39+H39</f>
        <v>119427.4387</v>
      </c>
      <c r="K39" s="364">
        <f t="shared" si="26"/>
        <v>0</v>
      </c>
      <c r="L39" s="365">
        <f t="shared" si="7"/>
        <v>119427.4387</v>
      </c>
    </row>
    <row r="40" ht="12.75" customHeight="1">
      <c r="A40" s="36" t="s">
        <v>171</v>
      </c>
      <c r="B40" s="362">
        <f t="shared" si="2"/>
        <v>511.8318801</v>
      </c>
      <c r="C40" s="363">
        <v>0.0</v>
      </c>
      <c r="D40" s="364">
        <f t="shared" si="3"/>
        <v>3639.69337</v>
      </c>
      <c r="E40" s="363">
        <v>0.0</v>
      </c>
      <c r="F40" s="364">
        <f t="shared" si="4"/>
        <v>511.8318801</v>
      </c>
      <c r="G40" s="363">
        <v>0.0</v>
      </c>
      <c r="H40" s="364">
        <f t="shared" si="5"/>
        <v>1023.66376</v>
      </c>
      <c r="I40" s="363">
        <v>0.0</v>
      </c>
      <c r="J40" s="364">
        <f t="shared" ref="J40:K40" si="27">J39+B40+D40+F40+H40</f>
        <v>125114.4596</v>
      </c>
      <c r="K40" s="364">
        <f t="shared" si="27"/>
        <v>0</v>
      </c>
      <c r="L40" s="365">
        <f t="shared" si="7"/>
        <v>125114.4596</v>
      </c>
    </row>
    <row r="41" ht="12.75" customHeight="1">
      <c r="A41" s="36" t="s">
        <v>172</v>
      </c>
      <c r="B41" s="362">
        <f t="shared" si="2"/>
        <v>511.8318801</v>
      </c>
      <c r="C41" s="363">
        <v>0.0</v>
      </c>
      <c r="D41" s="364">
        <f t="shared" si="3"/>
        <v>3639.69337</v>
      </c>
      <c r="E41" s="363">
        <v>0.0</v>
      </c>
      <c r="F41" s="364">
        <f t="shared" si="4"/>
        <v>511.8318801</v>
      </c>
      <c r="G41" s="363">
        <v>0.0</v>
      </c>
      <c r="H41" s="364">
        <f t="shared" si="5"/>
        <v>1023.66376</v>
      </c>
      <c r="I41" s="363">
        <v>0.0</v>
      </c>
      <c r="J41" s="364">
        <f t="shared" ref="J41:K41" si="28">J40+B41+D41+F41+H41</f>
        <v>130801.4805</v>
      </c>
      <c r="K41" s="364">
        <f t="shared" si="28"/>
        <v>0</v>
      </c>
      <c r="L41" s="365">
        <f t="shared" si="7"/>
        <v>130801.4805</v>
      </c>
    </row>
    <row r="42" ht="12.75" customHeight="1">
      <c r="A42" s="36" t="s">
        <v>173</v>
      </c>
      <c r="B42" s="362">
        <f t="shared" si="2"/>
        <v>511.8318801</v>
      </c>
      <c r="C42" s="363">
        <v>0.0</v>
      </c>
      <c r="D42" s="364">
        <f t="shared" si="3"/>
        <v>3639.69337</v>
      </c>
      <c r="E42" s="363">
        <v>0.0</v>
      </c>
      <c r="F42" s="364">
        <f t="shared" si="4"/>
        <v>511.8318801</v>
      </c>
      <c r="G42" s="363">
        <v>0.0</v>
      </c>
      <c r="H42" s="364">
        <f t="shared" si="5"/>
        <v>1023.66376</v>
      </c>
      <c r="I42" s="363">
        <v>0.0</v>
      </c>
      <c r="J42" s="364">
        <f t="shared" ref="J42:K42" si="29">J41+B42+D42+F42+H42</f>
        <v>136488.5014</v>
      </c>
      <c r="K42" s="364">
        <f t="shared" si="29"/>
        <v>0</v>
      </c>
      <c r="L42" s="365">
        <f t="shared" si="7"/>
        <v>136488.5014</v>
      </c>
    </row>
    <row r="43" ht="12.75" customHeight="1">
      <c r="A43" s="36" t="s">
        <v>174</v>
      </c>
      <c r="B43" s="362">
        <f t="shared" si="2"/>
        <v>511.8318801</v>
      </c>
      <c r="C43" s="363">
        <v>0.0</v>
      </c>
      <c r="D43" s="364">
        <f t="shared" si="3"/>
        <v>3639.69337</v>
      </c>
      <c r="E43" s="363">
        <v>0.0</v>
      </c>
      <c r="F43" s="364">
        <f t="shared" si="4"/>
        <v>511.8318801</v>
      </c>
      <c r="G43" s="363">
        <v>0.0</v>
      </c>
      <c r="H43" s="364">
        <f t="shared" si="5"/>
        <v>1023.66376</v>
      </c>
      <c r="I43" s="363">
        <v>0.0</v>
      </c>
      <c r="J43" s="364">
        <f t="shared" ref="J43:K43" si="30">J42+B43+D43+F43+H43</f>
        <v>142175.5223</v>
      </c>
      <c r="K43" s="364">
        <f t="shared" si="30"/>
        <v>0</v>
      </c>
      <c r="L43" s="365">
        <f t="shared" si="7"/>
        <v>142175.5223</v>
      </c>
    </row>
    <row r="44" ht="12.75" customHeight="1">
      <c r="A44" s="36" t="s">
        <v>175</v>
      </c>
      <c r="B44" s="362">
        <f t="shared" si="2"/>
        <v>511.8318801</v>
      </c>
      <c r="C44" s="363">
        <v>0.0</v>
      </c>
      <c r="D44" s="364">
        <f t="shared" si="3"/>
        <v>3639.69337</v>
      </c>
      <c r="E44" s="363">
        <v>0.0</v>
      </c>
      <c r="F44" s="364">
        <f t="shared" si="4"/>
        <v>511.8318801</v>
      </c>
      <c r="G44" s="363">
        <v>0.0</v>
      </c>
      <c r="H44" s="364">
        <f t="shared" si="5"/>
        <v>1023.66376</v>
      </c>
      <c r="I44" s="363">
        <v>0.0</v>
      </c>
      <c r="J44" s="364">
        <f t="shared" ref="J44:K44" si="31">J43+B44+D44+F44+H44</f>
        <v>147862.5431</v>
      </c>
      <c r="K44" s="364">
        <f t="shared" si="31"/>
        <v>0</v>
      </c>
      <c r="L44" s="365">
        <f t="shared" si="7"/>
        <v>147862.5431</v>
      </c>
    </row>
    <row r="45" ht="12.75" customHeight="1">
      <c r="A45" s="36" t="s">
        <v>176</v>
      </c>
      <c r="B45" s="367">
        <f t="shared" si="2"/>
        <v>511.8318801</v>
      </c>
      <c r="C45" s="368">
        <v>0.0</v>
      </c>
      <c r="D45" s="369">
        <f t="shared" si="3"/>
        <v>3639.69337</v>
      </c>
      <c r="E45" s="368">
        <v>0.0</v>
      </c>
      <c r="F45" s="369">
        <f t="shared" si="4"/>
        <v>511.8318801</v>
      </c>
      <c r="G45" s="368">
        <v>0.0</v>
      </c>
      <c r="H45" s="369">
        <f t="shared" si="5"/>
        <v>1023.66376</v>
      </c>
      <c r="I45" s="368">
        <v>0.0</v>
      </c>
      <c r="J45" s="369">
        <f t="shared" ref="J45:K45" si="32">J44+B45+D45+F45+H45</f>
        <v>153549.564</v>
      </c>
      <c r="K45" s="369">
        <f t="shared" si="32"/>
        <v>0</v>
      </c>
      <c r="L45" s="370">
        <f t="shared" si="7"/>
        <v>153549.564</v>
      </c>
    </row>
    <row r="46" ht="12.75" customHeight="1"/>
    <row r="47" ht="12.75" customHeight="1"/>
    <row r="48" ht="12.75" customHeight="1">
      <c r="A48" s="371" t="s">
        <v>177</v>
      </c>
      <c r="B48" s="108"/>
      <c r="C48" s="372" t="s">
        <v>178</v>
      </c>
      <c r="D48" s="373" t="s">
        <v>179</v>
      </c>
      <c r="E48" s="373" t="s">
        <v>180</v>
      </c>
      <c r="F48" s="374" t="s">
        <v>181</v>
      </c>
    </row>
    <row r="49" ht="14.25" customHeight="1">
      <c r="A49" s="375"/>
      <c r="B49" s="376"/>
      <c r="C49" s="377"/>
      <c r="D49" s="377"/>
      <c r="E49" s="377"/>
      <c r="F49" s="378"/>
    </row>
    <row r="50" ht="14.25" customHeight="1">
      <c r="A50" s="379"/>
      <c r="B50" s="380"/>
      <c r="C50" s="381"/>
      <c r="D50" s="381"/>
      <c r="E50" s="381"/>
      <c r="F50" s="382"/>
    </row>
    <row r="51" ht="14.25" customHeight="1">
      <c r="A51" s="379"/>
      <c r="B51" s="380"/>
      <c r="C51" s="381"/>
      <c r="D51" s="381"/>
      <c r="E51" s="381"/>
      <c r="F51" s="382"/>
    </row>
    <row r="52" ht="14.25" customHeight="1">
      <c r="A52" s="379"/>
      <c r="B52" s="380"/>
      <c r="C52" s="381"/>
      <c r="D52" s="381"/>
      <c r="E52" s="381"/>
      <c r="F52" s="382"/>
    </row>
    <row r="53" ht="14.25" customHeight="1">
      <c r="A53" s="379"/>
      <c r="B53" s="380"/>
      <c r="C53" s="381"/>
      <c r="D53" s="381"/>
      <c r="E53" s="381"/>
      <c r="F53" s="382"/>
    </row>
    <row r="54" ht="14.25" customHeight="1">
      <c r="A54" s="379"/>
      <c r="B54" s="380"/>
      <c r="C54" s="381"/>
      <c r="D54" s="381"/>
      <c r="E54" s="381"/>
      <c r="F54" s="382"/>
    </row>
    <row r="55" ht="14.25" customHeight="1">
      <c r="A55" s="379"/>
      <c r="B55" s="380"/>
      <c r="C55" s="381"/>
      <c r="D55" s="381"/>
      <c r="E55" s="381"/>
      <c r="F55" s="382"/>
    </row>
    <row r="56" ht="14.25" customHeight="1">
      <c r="A56" s="379"/>
      <c r="B56" s="380"/>
      <c r="C56" s="381"/>
      <c r="D56" s="381"/>
      <c r="E56" s="381"/>
      <c r="F56" s="382"/>
    </row>
    <row r="57" ht="14.25" customHeight="1">
      <c r="A57" s="379"/>
      <c r="B57" s="380"/>
      <c r="C57" s="381"/>
      <c r="D57" s="381"/>
      <c r="E57" s="381"/>
      <c r="F57" s="382"/>
    </row>
    <row r="58" ht="14.25" customHeight="1">
      <c r="A58" s="379"/>
      <c r="B58" s="380"/>
      <c r="C58" s="381"/>
      <c r="D58" s="381"/>
      <c r="E58" s="381"/>
      <c r="F58" s="382"/>
    </row>
    <row r="59" ht="14.25" customHeight="1">
      <c r="A59" s="379"/>
      <c r="B59" s="380"/>
      <c r="C59" s="381"/>
      <c r="D59" s="381"/>
      <c r="E59" s="381"/>
      <c r="F59" s="382"/>
    </row>
    <row r="60" ht="14.25" customHeight="1">
      <c r="A60" s="379"/>
      <c r="B60" s="380"/>
      <c r="C60" s="381"/>
      <c r="D60" s="381"/>
      <c r="E60" s="381"/>
      <c r="F60" s="382"/>
    </row>
    <row r="61" ht="14.25" customHeight="1">
      <c r="A61" s="379"/>
      <c r="B61" s="380"/>
      <c r="C61" s="381"/>
      <c r="D61" s="381"/>
      <c r="E61" s="381"/>
      <c r="F61" s="382"/>
    </row>
    <row r="62" ht="14.25" customHeight="1">
      <c r="A62" s="379"/>
      <c r="B62" s="380"/>
      <c r="C62" s="381"/>
      <c r="D62" s="381"/>
      <c r="E62" s="381"/>
      <c r="F62" s="382"/>
    </row>
    <row r="63" ht="14.25" customHeight="1">
      <c r="A63" s="379"/>
      <c r="B63" s="380"/>
      <c r="C63" s="381"/>
      <c r="D63" s="381"/>
      <c r="E63" s="381"/>
      <c r="F63" s="382"/>
    </row>
    <row r="64" ht="14.25" customHeight="1">
      <c r="A64" s="379"/>
      <c r="B64" s="380"/>
      <c r="C64" s="381"/>
      <c r="D64" s="381"/>
      <c r="E64" s="381"/>
      <c r="F64" s="382"/>
    </row>
    <row r="65" ht="14.25" customHeight="1">
      <c r="A65" s="379"/>
      <c r="B65" s="380"/>
      <c r="C65" s="381"/>
      <c r="D65" s="381"/>
      <c r="E65" s="381"/>
      <c r="F65" s="382"/>
    </row>
    <row r="66" ht="14.25" customHeight="1">
      <c r="A66" s="379"/>
      <c r="B66" s="380"/>
      <c r="C66" s="381"/>
      <c r="D66" s="381"/>
      <c r="E66" s="381"/>
      <c r="F66" s="382"/>
    </row>
    <row r="67" ht="14.25" customHeight="1">
      <c r="A67" s="379"/>
      <c r="B67" s="380"/>
      <c r="C67" s="381"/>
      <c r="D67" s="381"/>
      <c r="E67" s="381"/>
      <c r="F67" s="382"/>
    </row>
    <row r="68" ht="14.25" customHeight="1">
      <c r="A68" s="379"/>
      <c r="B68" s="380"/>
      <c r="C68" s="381"/>
      <c r="D68" s="381"/>
      <c r="E68" s="381"/>
      <c r="F68" s="382"/>
    </row>
    <row r="69" ht="12.75" customHeight="1">
      <c r="A69" s="383"/>
      <c r="B69" s="384"/>
      <c r="C69" s="385"/>
      <c r="D69" s="385"/>
      <c r="E69" s="385"/>
      <c r="F69" s="386"/>
    </row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3">
    <mergeCell ref="J1:M1"/>
    <mergeCell ref="D2:E2"/>
    <mergeCell ref="D3:E3"/>
    <mergeCell ref="D4:E4"/>
    <mergeCell ref="D6:E6"/>
    <mergeCell ref="D7:E7"/>
    <mergeCell ref="D8:E8"/>
    <mergeCell ref="D10:E10"/>
    <mergeCell ref="D11:E11"/>
    <mergeCell ref="D12:E12"/>
    <mergeCell ref="D14:E14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65:B65"/>
    <mergeCell ref="A66:B66"/>
    <mergeCell ref="A67:B67"/>
    <mergeCell ref="A68:B68"/>
    <mergeCell ref="A69:B69"/>
    <mergeCell ref="A58:B58"/>
    <mergeCell ref="A59:B59"/>
    <mergeCell ref="A60:B60"/>
    <mergeCell ref="A61:B61"/>
    <mergeCell ref="A62:B62"/>
    <mergeCell ref="A63:B63"/>
    <mergeCell ref="A64:B64"/>
  </mergeCells>
  <conditionalFormatting sqref="K19:K45">
    <cfRule type="cellIs" dxfId="1" priority="1" operator="greaterThan">
      <formula>$B$3</formula>
    </cfRule>
  </conditionalFormatting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25"/>
    <col customWidth="1" min="2" max="2" width="20.13"/>
    <col customWidth="1" min="3" max="3" width="15.0"/>
    <col customWidth="1" min="4" max="4" width="15.63"/>
    <col customWidth="1" min="5" max="5" width="22.0"/>
    <col customWidth="1" min="6" max="6" width="18.25"/>
    <col customWidth="1" min="7" max="7" width="16.63"/>
    <col customWidth="1" min="8" max="8" width="23.75"/>
    <col customWidth="1" min="9" max="9" width="12.25"/>
    <col customWidth="1" min="10" max="10" width="15.25"/>
    <col customWidth="1" min="11" max="11" width="12.25"/>
    <col customWidth="1" min="12" max="12" width="18.88"/>
    <col customWidth="1" min="13" max="13" width="11.0"/>
    <col customWidth="1" min="14" max="26" width="8.63"/>
  </cols>
  <sheetData>
    <row r="1" ht="12.75" customHeight="1">
      <c r="A1" s="310" t="s">
        <v>186</v>
      </c>
      <c r="J1" s="311" t="s">
        <v>118</v>
      </c>
      <c r="K1" s="167"/>
      <c r="L1" s="167"/>
      <c r="M1" s="79"/>
    </row>
    <row r="2" ht="12.75" customHeight="1">
      <c r="D2" s="312" t="s">
        <v>119</v>
      </c>
      <c r="E2" s="167"/>
      <c r="F2" s="345">
        <f>'Input Data'!F12</f>
        <v>6000</v>
      </c>
      <c r="G2" s="346"/>
      <c r="H2" s="315" t="s">
        <v>187</v>
      </c>
      <c r="J2" s="316" t="s">
        <v>115</v>
      </c>
      <c r="K2" s="317" t="s">
        <v>87</v>
      </c>
      <c r="L2" s="317" t="s">
        <v>88</v>
      </c>
      <c r="M2" s="318" t="s">
        <v>86</v>
      </c>
    </row>
    <row r="3" ht="12.75" customHeight="1">
      <c r="A3" s="319" t="s">
        <v>121</v>
      </c>
      <c r="B3" s="320">
        <f>'Sales Goals'!I10</f>
        <v>96864.88628</v>
      </c>
      <c r="D3" s="321" t="s">
        <v>122</v>
      </c>
      <c r="E3" s="172"/>
      <c r="F3" s="348">
        <f>B3*B9</f>
        <v>61993.52722</v>
      </c>
      <c r="G3" s="349" t="s">
        <v>123</v>
      </c>
      <c r="H3" s="324">
        <f>'Input Data'!F13</f>
        <v>0.5</v>
      </c>
      <c r="I3" s="3"/>
      <c r="J3" s="325"/>
      <c r="K3" s="326"/>
      <c r="L3" s="326"/>
      <c r="M3" s="327"/>
    </row>
    <row r="4" ht="12.75" customHeight="1">
      <c r="B4" s="36"/>
      <c r="D4" s="328" t="s">
        <v>124</v>
      </c>
      <c r="E4" s="108"/>
      <c r="F4" s="387">
        <f>F3/F2</f>
        <v>10.33225454</v>
      </c>
      <c r="G4" s="330"/>
      <c r="H4" s="331">
        <f>F4/H3</f>
        <v>20.66450907</v>
      </c>
      <c r="I4" s="3"/>
      <c r="J4" s="325">
        <f>H4/'Input Data'!G30</f>
        <v>0.3757183468</v>
      </c>
      <c r="K4" s="326"/>
      <c r="L4" s="326"/>
      <c r="M4" s="327">
        <f>F4/'Input Data'!G34</f>
        <v>0.4696479335</v>
      </c>
    </row>
    <row r="5" ht="12.75" customHeight="1">
      <c r="A5" s="332" t="s">
        <v>125</v>
      </c>
      <c r="B5" s="320">
        <f>((B3/31)*7)/'Break-even'!C25</f>
        <v>4374.543251</v>
      </c>
      <c r="F5" s="36"/>
      <c r="G5" s="36"/>
      <c r="H5" s="36"/>
      <c r="J5" s="325"/>
      <c r="K5" s="326"/>
      <c r="L5" s="326"/>
      <c r="M5" s="327"/>
    </row>
    <row r="6" ht="12.75" customHeight="1">
      <c r="B6" s="36"/>
      <c r="D6" s="312" t="s">
        <v>126</v>
      </c>
      <c r="E6" s="167"/>
      <c r="F6" s="345">
        <f>'Input Data'!F16</f>
        <v>375</v>
      </c>
      <c r="G6" s="346"/>
      <c r="H6" s="333" t="s">
        <v>127</v>
      </c>
      <c r="J6" s="334"/>
      <c r="K6" s="326"/>
      <c r="L6" s="326"/>
      <c r="M6" s="327"/>
    </row>
    <row r="7" ht="12.75" customHeight="1">
      <c r="A7" s="335" t="s">
        <v>35</v>
      </c>
      <c r="B7" s="320">
        <f>Budget!C36</f>
        <v>4885.054388</v>
      </c>
      <c r="D7" s="321" t="s">
        <v>128</v>
      </c>
      <c r="E7" s="172"/>
      <c r="F7" s="348">
        <f>B3*B11</f>
        <v>7749.190902</v>
      </c>
      <c r="G7" s="349" t="s">
        <v>123</v>
      </c>
      <c r="H7" s="324">
        <f>'Input Data'!F17</f>
        <v>1</v>
      </c>
      <c r="J7" s="325"/>
      <c r="K7" s="336"/>
      <c r="L7" s="326"/>
      <c r="M7" s="327"/>
    </row>
    <row r="8" ht="12.75" customHeight="1">
      <c r="B8" s="36"/>
      <c r="D8" s="328" t="s">
        <v>129</v>
      </c>
      <c r="E8" s="108"/>
      <c r="F8" s="351">
        <f>F7/F6</f>
        <v>20.66450907</v>
      </c>
      <c r="G8" s="330"/>
      <c r="H8" s="338">
        <f> F8/H7</f>
        <v>20.66450907</v>
      </c>
      <c r="J8" s="325"/>
      <c r="K8" s="326">
        <f>H8/'Input Data'!G31</f>
        <v>0.3130986223</v>
      </c>
      <c r="L8" s="326"/>
      <c r="M8" s="327"/>
    </row>
    <row r="9" ht="12.75" customHeight="1">
      <c r="A9" s="339" t="s">
        <v>130</v>
      </c>
      <c r="B9" s="340">
        <f>'Input Data'!F6</f>
        <v>0.64</v>
      </c>
      <c r="F9" s="36"/>
      <c r="G9" s="36"/>
      <c r="H9" s="36"/>
      <c r="J9" s="325"/>
      <c r="K9" s="326"/>
      <c r="L9" s="326"/>
      <c r="M9" s="327"/>
    </row>
    <row r="10" ht="12.75" customHeight="1">
      <c r="B10" s="36"/>
      <c r="D10" s="312" t="s">
        <v>131</v>
      </c>
      <c r="E10" s="167"/>
      <c r="F10" s="345">
        <f>'Input Data'!F20</f>
        <v>150</v>
      </c>
      <c r="G10" s="346"/>
      <c r="H10" s="333" t="s">
        <v>127</v>
      </c>
      <c r="J10" s="325"/>
      <c r="K10" s="326"/>
      <c r="L10" s="326"/>
      <c r="M10" s="327"/>
    </row>
    <row r="11" ht="12.75" customHeight="1">
      <c r="A11" s="339" t="s">
        <v>132</v>
      </c>
      <c r="B11" s="340">
        <f>'Input Data'!F7</f>
        <v>0.08</v>
      </c>
      <c r="D11" s="321" t="s">
        <v>133</v>
      </c>
      <c r="E11" s="172"/>
      <c r="F11" s="348">
        <f>B3*B13</f>
        <v>9686.488628</v>
      </c>
      <c r="G11" s="349" t="s">
        <v>123</v>
      </c>
      <c r="H11" s="324">
        <f>'Input Data'!F21</f>
        <v>1</v>
      </c>
      <c r="J11" s="325"/>
      <c r="K11" s="326"/>
      <c r="L11" s="326"/>
      <c r="M11" s="327"/>
    </row>
    <row r="12" ht="12.75" customHeight="1">
      <c r="A12" s="278"/>
      <c r="B12" s="342"/>
      <c r="D12" s="328" t="s">
        <v>134</v>
      </c>
      <c r="E12" s="169"/>
      <c r="F12" s="351">
        <f>F11/F10</f>
        <v>64.57659085</v>
      </c>
      <c r="G12" s="330"/>
      <c r="H12" s="338">
        <f> F12/H11</f>
        <v>64.57659085</v>
      </c>
      <c r="J12" s="325"/>
      <c r="K12" s="326">
        <f>H12/'Input Data'!G32</f>
        <v>0.6906587257</v>
      </c>
      <c r="L12" s="326"/>
      <c r="M12" s="327"/>
    </row>
    <row r="13" ht="12.75" customHeight="1">
      <c r="A13" s="328" t="s">
        <v>135</v>
      </c>
      <c r="B13" s="340">
        <f>'Input Data'!F8</f>
        <v>0.1</v>
      </c>
      <c r="J13" s="325"/>
      <c r="K13" s="326"/>
      <c r="L13" s="326"/>
      <c r="M13" s="327"/>
    </row>
    <row r="14" ht="12.75" customHeight="1">
      <c r="B14" s="36"/>
      <c r="D14" s="312" t="s">
        <v>136</v>
      </c>
      <c r="E14" s="79"/>
      <c r="F14" s="345">
        <f>'Input Data'!F24</f>
        <v>750</v>
      </c>
      <c r="G14" s="346"/>
      <c r="H14" s="333" t="s">
        <v>127</v>
      </c>
      <c r="J14" s="325"/>
      <c r="K14" s="326"/>
      <c r="L14" s="326"/>
      <c r="M14" s="327"/>
    </row>
    <row r="15" ht="12.75" customHeight="1">
      <c r="A15" s="328" t="s">
        <v>137</v>
      </c>
      <c r="B15" s="324">
        <f>'Input Data'!F9</f>
        <v>0.18</v>
      </c>
      <c r="D15" s="347" t="s">
        <v>128</v>
      </c>
      <c r="E15" s="165"/>
      <c r="F15" s="348">
        <f>B3*B15</f>
        <v>17435.67953</v>
      </c>
      <c r="G15" s="349" t="s">
        <v>123</v>
      </c>
      <c r="H15" s="324">
        <f>'Input Data'!F25</f>
        <v>1</v>
      </c>
      <c r="J15" s="325"/>
      <c r="K15" s="326"/>
      <c r="L15" s="326"/>
      <c r="M15" s="327"/>
    </row>
    <row r="16" ht="12.75" customHeight="1">
      <c r="D16" s="328" t="s">
        <v>138</v>
      </c>
      <c r="E16" s="350"/>
      <c r="F16" s="351">
        <f>F15/F14</f>
        <v>23.24757271</v>
      </c>
      <c r="G16" s="330"/>
      <c r="H16" s="338">
        <f> F16/H15</f>
        <v>23.24757271</v>
      </c>
      <c r="J16" s="352"/>
      <c r="K16" s="388"/>
      <c r="L16" s="353" t="str">
        <f>H16/'Input Data'!G33</f>
        <v>#DIV/0!</v>
      </c>
      <c r="M16" s="354"/>
    </row>
    <row r="17" ht="12.75" customHeight="1"/>
    <row r="18" ht="45.75" customHeight="1">
      <c r="B18" s="355" t="s">
        <v>139</v>
      </c>
      <c r="C18" s="356" t="s">
        <v>140</v>
      </c>
      <c r="D18" s="356" t="s">
        <v>141</v>
      </c>
      <c r="E18" s="357" t="s">
        <v>184</v>
      </c>
      <c r="F18" s="356" t="s">
        <v>143</v>
      </c>
      <c r="G18" s="356" t="s">
        <v>185</v>
      </c>
      <c r="H18" s="356" t="s">
        <v>145</v>
      </c>
      <c r="I18" s="356" t="s">
        <v>146</v>
      </c>
      <c r="J18" s="356" t="s">
        <v>147</v>
      </c>
      <c r="K18" s="356" t="s">
        <v>148</v>
      </c>
      <c r="L18" s="356" t="s">
        <v>149</v>
      </c>
    </row>
    <row r="19" ht="12.75" customHeight="1">
      <c r="A19" s="36" t="s">
        <v>150</v>
      </c>
      <c r="B19" s="358">
        <f t="shared" ref="B19:B45" si="2">$B$5*$B$11</f>
        <v>349.9634601</v>
      </c>
      <c r="C19" s="305">
        <v>0.0</v>
      </c>
      <c r="D19" s="359">
        <f t="shared" ref="D19:D45" si="3">$B$5*$B$9</f>
        <v>2799.707681</v>
      </c>
      <c r="E19" s="305">
        <v>0.0</v>
      </c>
      <c r="F19" s="359">
        <f t="shared" ref="F19:F45" si="4">$B$5*$B$13</f>
        <v>437.4543251</v>
      </c>
      <c r="G19" s="305">
        <v>0.0</v>
      </c>
      <c r="H19" s="359">
        <f t="shared" ref="H19:H45" si="5">$B$5*$B$15</f>
        <v>787.4177852</v>
      </c>
      <c r="I19" s="305">
        <v>0.0</v>
      </c>
      <c r="J19" s="359">
        <f t="shared" ref="J19:K19" si="1">B19+D19+F19+H19</f>
        <v>4374.543251</v>
      </c>
      <c r="K19" s="360">
        <f t="shared" si="1"/>
        <v>0</v>
      </c>
      <c r="L19" s="361">
        <f t="shared" ref="L19:L45" si="7">J19-K19</f>
        <v>4374.543251</v>
      </c>
    </row>
    <row r="20" ht="12.75" customHeight="1">
      <c r="A20" s="36" t="s">
        <v>151</v>
      </c>
      <c r="B20" s="362">
        <f t="shared" si="2"/>
        <v>349.9634601</v>
      </c>
      <c r="C20" s="363">
        <v>0.0</v>
      </c>
      <c r="D20" s="364">
        <f t="shared" si="3"/>
        <v>2799.707681</v>
      </c>
      <c r="E20" s="363">
        <v>0.0</v>
      </c>
      <c r="F20" s="364">
        <f t="shared" si="4"/>
        <v>437.4543251</v>
      </c>
      <c r="G20" s="363">
        <v>0.0</v>
      </c>
      <c r="H20" s="364">
        <f t="shared" si="5"/>
        <v>787.4177852</v>
      </c>
      <c r="I20" s="363">
        <v>0.0</v>
      </c>
      <c r="J20" s="364">
        <f t="shared" ref="J20:K20" si="6">J19+B20+D20+F20+H20</f>
        <v>8749.086502</v>
      </c>
      <c r="K20" s="364">
        <f t="shared" si="6"/>
        <v>0</v>
      </c>
      <c r="L20" s="365">
        <f t="shared" si="7"/>
        <v>8749.086502</v>
      </c>
    </row>
    <row r="21" ht="12.75" customHeight="1">
      <c r="A21" s="36" t="s">
        <v>152</v>
      </c>
      <c r="B21" s="362">
        <f t="shared" si="2"/>
        <v>349.9634601</v>
      </c>
      <c r="C21" s="363">
        <v>0.0</v>
      </c>
      <c r="D21" s="364">
        <f t="shared" si="3"/>
        <v>2799.707681</v>
      </c>
      <c r="E21" s="363">
        <v>0.0</v>
      </c>
      <c r="F21" s="364">
        <f t="shared" si="4"/>
        <v>437.4543251</v>
      </c>
      <c r="G21" s="363">
        <v>0.0</v>
      </c>
      <c r="H21" s="364">
        <f t="shared" si="5"/>
        <v>787.4177852</v>
      </c>
      <c r="I21" s="363">
        <v>0.0</v>
      </c>
      <c r="J21" s="364">
        <f t="shared" ref="J21:K21" si="8">J20+B21+D21+F21+H21</f>
        <v>13123.62975</v>
      </c>
      <c r="K21" s="364">
        <f t="shared" si="8"/>
        <v>0</v>
      </c>
      <c r="L21" s="365">
        <f t="shared" si="7"/>
        <v>13123.62975</v>
      </c>
    </row>
    <row r="22" ht="12.75" customHeight="1">
      <c r="A22" s="36" t="s">
        <v>153</v>
      </c>
      <c r="B22" s="362">
        <f t="shared" si="2"/>
        <v>349.9634601</v>
      </c>
      <c r="C22" s="363">
        <v>0.0</v>
      </c>
      <c r="D22" s="364">
        <f t="shared" si="3"/>
        <v>2799.707681</v>
      </c>
      <c r="E22" s="363">
        <v>0.0</v>
      </c>
      <c r="F22" s="364">
        <f t="shared" si="4"/>
        <v>437.4543251</v>
      </c>
      <c r="G22" s="363">
        <v>0.0</v>
      </c>
      <c r="H22" s="364">
        <f t="shared" si="5"/>
        <v>787.4177852</v>
      </c>
      <c r="I22" s="363">
        <v>0.0</v>
      </c>
      <c r="J22" s="364">
        <f t="shared" ref="J22:K22" si="9">J21+B22+D22+F22+H22</f>
        <v>17498.173</v>
      </c>
      <c r="K22" s="364">
        <f t="shared" si="9"/>
        <v>0</v>
      </c>
      <c r="L22" s="365">
        <f t="shared" si="7"/>
        <v>17498.173</v>
      </c>
    </row>
    <row r="23" ht="12.75" customHeight="1">
      <c r="A23" s="36" t="s">
        <v>154</v>
      </c>
      <c r="B23" s="362">
        <f t="shared" si="2"/>
        <v>349.9634601</v>
      </c>
      <c r="C23" s="363">
        <v>0.0</v>
      </c>
      <c r="D23" s="364">
        <f t="shared" si="3"/>
        <v>2799.707681</v>
      </c>
      <c r="E23" s="363">
        <v>0.0</v>
      </c>
      <c r="F23" s="364">
        <f t="shared" si="4"/>
        <v>437.4543251</v>
      </c>
      <c r="G23" s="363">
        <v>0.0</v>
      </c>
      <c r="H23" s="364">
        <f t="shared" si="5"/>
        <v>787.4177852</v>
      </c>
      <c r="I23" s="363">
        <v>0.0</v>
      </c>
      <c r="J23" s="364">
        <f t="shared" ref="J23:K23" si="10">J22+B23+D23+F23+H23</f>
        <v>21872.71626</v>
      </c>
      <c r="K23" s="364">
        <f t="shared" si="10"/>
        <v>0</v>
      </c>
      <c r="L23" s="365">
        <f t="shared" si="7"/>
        <v>21872.71626</v>
      </c>
    </row>
    <row r="24" ht="12.75" customHeight="1">
      <c r="A24" s="36" t="s">
        <v>155</v>
      </c>
      <c r="B24" s="362">
        <f t="shared" si="2"/>
        <v>349.9634601</v>
      </c>
      <c r="C24" s="363">
        <v>0.0</v>
      </c>
      <c r="D24" s="364">
        <f t="shared" si="3"/>
        <v>2799.707681</v>
      </c>
      <c r="E24" s="363">
        <v>0.0</v>
      </c>
      <c r="F24" s="364">
        <f t="shared" si="4"/>
        <v>437.4543251</v>
      </c>
      <c r="G24" s="363">
        <v>0.0</v>
      </c>
      <c r="H24" s="364">
        <f t="shared" si="5"/>
        <v>787.4177852</v>
      </c>
      <c r="I24" s="363">
        <v>0.0</v>
      </c>
      <c r="J24" s="364">
        <f t="shared" ref="J24:K24" si="11">J23+B24+D24+F24+H24</f>
        <v>26247.25951</v>
      </c>
      <c r="K24" s="364">
        <f t="shared" si="11"/>
        <v>0</v>
      </c>
      <c r="L24" s="365">
        <f t="shared" si="7"/>
        <v>26247.25951</v>
      </c>
    </row>
    <row r="25" ht="12.75" customHeight="1">
      <c r="A25" s="36" t="s">
        <v>156</v>
      </c>
      <c r="B25" s="362">
        <f t="shared" si="2"/>
        <v>349.9634601</v>
      </c>
      <c r="C25" s="363">
        <v>0.0</v>
      </c>
      <c r="D25" s="364">
        <f t="shared" si="3"/>
        <v>2799.707681</v>
      </c>
      <c r="E25" s="363">
        <v>0.0</v>
      </c>
      <c r="F25" s="364">
        <f t="shared" si="4"/>
        <v>437.4543251</v>
      </c>
      <c r="G25" s="363">
        <v>0.0</v>
      </c>
      <c r="H25" s="364">
        <f t="shared" si="5"/>
        <v>787.4177852</v>
      </c>
      <c r="I25" s="363">
        <v>0.0</v>
      </c>
      <c r="J25" s="364">
        <f t="shared" ref="J25:K25" si="12">J24+B25+D25+F25+H25</f>
        <v>30621.80276</v>
      </c>
      <c r="K25" s="364">
        <f t="shared" si="12"/>
        <v>0</v>
      </c>
      <c r="L25" s="365">
        <f t="shared" si="7"/>
        <v>30621.80276</v>
      </c>
    </row>
    <row r="26" ht="12.75" customHeight="1">
      <c r="A26" s="36" t="s">
        <v>157</v>
      </c>
      <c r="B26" s="362">
        <f t="shared" si="2"/>
        <v>349.9634601</v>
      </c>
      <c r="C26" s="363">
        <v>0.0</v>
      </c>
      <c r="D26" s="364">
        <f t="shared" si="3"/>
        <v>2799.707681</v>
      </c>
      <c r="E26" s="363">
        <v>0.0</v>
      </c>
      <c r="F26" s="364">
        <f t="shared" si="4"/>
        <v>437.4543251</v>
      </c>
      <c r="G26" s="363">
        <v>0.0</v>
      </c>
      <c r="H26" s="364">
        <f t="shared" si="5"/>
        <v>787.4177852</v>
      </c>
      <c r="I26" s="363">
        <v>0.0</v>
      </c>
      <c r="J26" s="364">
        <f t="shared" ref="J26:K26" si="13">J25+B26+D26+F26+H26</f>
        <v>34996.34601</v>
      </c>
      <c r="K26" s="364">
        <f t="shared" si="13"/>
        <v>0</v>
      </c>
      <c r="L26" s="365">
        <f t="shared" si="7"/>
        <v>34996.34601</v>
      </c>
    </row>
    <row r="27" ht="12.75" customHeight="1">
      <c r="A27" s="36" t="s">
        <v>158</v>
      </c>
      <c r="B27" s="362">
        <f t="shared" si="2"/>
        <v>349.9634601</v>
      </c>
      <c r="C27" s="363">
        <v>0.0</v>
      </c>
      <c r="D27" s="364">
        <f t="shared" si="3"/>
        <v>2799.707681</v>
      </c>
      <c r="E27" s="363">
        <v>0.0</v>
      </c>
      <c r="F27" s="364">
        <f t="shared" si="4"/>
        <v>437.4543251</v>
      </c>
      <c r="G27" s="363">
        <v>0.0</v>
      </c>
      <c r="H27" s="364">
        <f t="shared" si="5"/>
        <v>787.4177852</v>
      </c>
      <c r="I27" s="363">
        <v>0.0</v>
      </c>
      <c r="J27" s="364">
        <f t="shared" ref="J27:K27" si="14">J26+B27+D27+F27+H27</f>
        <v>39370.88926</v>
      </c>
      <c r="K27" s="364">
        <f t="shared" si="14"/>
        <v>0</v>
      </c>
      <c r="L27" s="365">
        <f t="shared" si="7"/>
        <v>39370.88926</v>
      </c>
    </row>
    <row r="28" ht="12.75" customHeight="1">
      <c r="A28" s="36" t="s">
        <v>159</v>
      </c>
      <c r="B28" s="362">
        <f t="shared" si="2"/>
        <v>349.9634601</v>
      </c>
      <c r="C28" s="363">
        <v>0.0</v>
      </c>
      <c r="D28" s="364">
        <f t="shared" si="3"/>
        <v>2799.707681</v>
      </c>
      <c r="E28" s="363">
        <v>0.0</v>
      </c>
      <c r="F28" s="364">
        <f t="shared" si="4"/>
        <v>437.4543251</v>
      </c>
      <c r="G28" s="363">
        <v>0.0</v>
      </c>
      <c r="H28" s="364">
        <f t="shared" si="5"/>
        <v>787.4177852</v>
      </c>
      <c r="I28" s="363">
        <v>0.0</v>
      </c>
      <c r="J28" s="364">
        <f t="shared" ref="J28:K28" si="15">J27+B28+D28+F28+H28</f>
        <v>43745.43251</v>
      </c>
      <c r="K28" s="364">
        <f t="shared" si="15"/>
        <v>0</v>
      </c>
      <c r="L28" s="365">
        <f t="shared" si="7"/>
        <v>43745.43251</v>
      </c>
    </row>
    <row r="29" ht="12.75" customHeight="1">
      <c r="A29" s="36" t="s">
        <v>160</v>
      </c>
      <c r="B29" s="362">
        <f t="shared" si="2"/>
        <v>349.9634601</v>
      </c>
      <c r="C29" s="363">
        <v>0.0</v>
      </c>
      <c r="D29" s="364">
        <f t="shared" si="3"/>
        <v>2799.707681</v>
      </c>
      <c r="E29" s="363">
        <v>0.0</v>
      </c>
      <c r="F29" s="364">
        <f t="shared" si="4"/>
        <v>437.4543251</v>
      </c>
      <c r="G29" s="363">
        <v>0.0</v>
      </c>
      <c r="H29" s="364">
        <f t="shared" si="5"/>
        <v>787.4177852</v>
      </c>
      <c r="I29" s="363">
        <v>0.0</v>
      </c>
      <c r="J29" s="364">
        <f t="shared" ref="J29:K29" si="16">J28+B29+D29+F29+H29</f>
        <v>48119.97576</v>
      </c>
      <c r="K29" s="364">
        <f t="shared" si="16"/>
        <v>0</v>
      </c>
      <c r="L29" s="365">
        <f t="shared" si="7"/>
        <v>48119.97576</v>
      </c>
    </row>
    <row r="30" ht="12.75" customHeight="1">
      <c r="A30" s="36" t="s">
        <v>161</v>
      </c>
      <c r="B30" s="362">
        <f t="shared" si="2"/>
        <v>349.9634601</v>
      </c>
      <c r="C30" s="363">
        <v>0.0</v>
      </c>
      <c r="D30" s="364">
        <f t="shared" si="3"/>
        <v>2799.707681</v>
      </c>
      <c r="E30" s="363">
        <v>0.0</v>
      </c>
      <c r="F30" s="364">
        <f t="shared" si="4"/>
        <v>437.4543251</v>
      </c>
      <c r="G30" s="363">
        <v>0.0</v>
      </c>
      <c r="H30" s="364">
        <f t="shared" si="5"/>
        <v>787.4177852</v>
      </c>
      <c r="I30" s="363">
        <v>0.0</v>
      </c>
      <c r="J30" s="364">
        <f t="shared" ref="J30:K30" si="17">J29+B30+D30+F30+H30</f>
        <v>52494.51901</v>
      </c>
      <c r="K30" s="364">
        <f t="shared" si="17"/>
        <v>0</v>
      </c>
      <c r="L30" s="365">
        <f t="shared" si="7"/>
        <v>52494.51901</v>
      </c>
    </row>
    <row r="31" ht="12.75" customHeight="1">
      <c r="A31" s="36" t="s">
        <v>162</v>
      </c>
      <c r="B31" s="362">
        <f t="shared" si="2"/>
        <v>349.9634601</v>
      </c>
      <c r="C31" s="363">
        <v>0.0</v>
      </c>
      <c r="D31" s="364">
        <f t="shared" si="3"/>
        <v>2799.707681</v>
      </c>
      <c r="E31" s="363">
        <v>0.0</v>
      </c>
      <c r="F31" s="364">
        <f t="shared" si="4"/>
        <v>437.4543251</v>
      </c>
      <c r="G31" s="363">
        <v>0.0</v>
      </c>
      <c r="H31" s="364">
        <f t="shared" si="5"/>
        <v>787.4177852</v>
      </c>
      <c r="I31" s="363">
        <v>0.0</v>
      </c>
      <c r="J31" s="364">
        <f t="shared" ref="J31:K31" si="18">J30+B31+D31+F31+H31</f>
        <v>56869.06227</v>
      </c>
      <c r="K31" s="364">
        <f t="shared" si="18"/>
        <v>0</v>
      </c>
      <c r="L31" s="365">
        <f t="shared" si="7"/>
        <v>56869.06227</v>
      </c>
    </row>
    <row r="32" ht="12.75" customHeight="1">
      <c r="A32" s="36" t="s">
        <v>163</v>
      </c>
      <c r="B32" s="362">
        <f t="shared" si="2"/>
        <v>349.9634601</v>
      </c>
      <c r="C32" s="363">
        <v>0.0</v>
      </c>
      <c r="D32" s="364">
        <f t="shared" si="3"/>
        <v>2799.707681</v>
      </c>
      <c r="E32" s="363">
        <v>0.0</v>
      </c>
      <c r="F32" s="364">
        <f t="shared" si="4"/>
        <v>437.4543251</v>
      </c>
      <c r="G32" s="363">
        <v>0.0</v>
      </c>
      <c r="H32" s="364">
        <f t="shared" si="5"/>
        <v>787.4177852</v>
      </c>
      <c r="I32" s="363">
        <v>0.0</v>
      </c>
      <c r="J32" s="364">
        <f t="shared" ref="J32:K32" si="19">J31+B32+D32+F32+H32</f>
        <v>61243.60552</v>
      </c>
      <c r="K32" s="364">
        <f t="shared" si="19"/>
        <v>0</v>
      </c>
      <c r="L32" s="365">
        <f t="shared" si="7"/>
        <v>61243.60552</v>
      </c>
    </row>
    <row r="33" ht="12.75" customHeight="1">
      <c r="A33" s="36" t="s">
        <v>164</v>
      </c>
      <c r="B33" s="362">
        <f t="shared" si="2"/>
        <v>349.9634601</v>
      </c>
      <c r="C33" s="363">
        <v>0.0</v>
      </c>
      <c r="D33" s="364">
        <f t="shared" si="3"/>
        <v>2799.707681</v>
      </c>
      <c r="E33" s="363">
        <v>0.0</v>
      </c>
      <c r="F33" s="364">
        <f t="shared" si="4"/>
        <v>437.4543251</v>
      </c>
      <c r="G33" s="363">
        <v>0.0</v>
      </c>
      <c r="H33" s="364">
        <f t="shared" si="5"/>
        <v>787.4177852</v>
      </c>
      <c r="I33" s="363">
        <v>0.0</v>
      </c>
      <c r="J33" s="364">
        <f t="shared" ref="J33:K33" si="20">J32+B33+D33+F33+H33</f>
        <v>65618.14877</v>
      </c>
      <c r="K33" s="364">
        <f t="shared" si="20"/>
        <v>0</v>
      </c>
      <c r="L33" s="365">
        <f t="shared" si="7"/>
        <v>65618.14877</v>
      </c>
    </row>
    <row r="34" ht="12.75" customHeight="1">
      <c r="A34" s="36" t="s">
        <v>165</v>
      </c>
      <c r="B34" s="362">
        <f t="shared" si="2"/>
        <v>349.9634601</v>
      </c>
      <c r="C34" s="363">
        <v>0.0</v>
      </c>
      <c r="D34" s="364">
        <f t="shared" si="3"/>
        <v>2799.707681</v>
      </c>
      <c r="E34" s="363">
        <v>0.0</v>
      </c>
      <c r="F34" s="364">
        <f t="shared" si="4"/>
        <v>437.4543251</v>
      </c>
      <c r="G34" s="363">
        <v>0.0</v>
      </c>
      <c r="H34" s="364">
        <f t="shared" si="5"/>
        <v>787.4177852</v>
      </c>
      <c r="I34" s="363">
        <v>0.0</v>
      </c>
      <c r="J34" s="364">
        <f t="shared" ref="J34:K34" si="21">J33+B34+D34+F34+H34</f>
        <v>69992.69202</v>
      </c>
      <c r="K34" s="364">
        <f t="shared" si="21"/>
        <v>0</v>
      </c>
      <c r="L34" s="365">
        <f t="shared" si="7"/>
        <v>69992.69202</v>
      </c>
    </row>
    <row r="35" ht="12.75" customHeight="1">
      <c r="A35" s="36" t="s">
        <v>166</v>
      </c>
      <c r="B35" s="362">
        <f t="shared" si="2"/>
        <v>349.9634601</v>
      </c>
      <c r="C35" s="363">
        <v>0.0</v>
      </c>
      <c r="D35" s="364">
        <f t="shared" si="3"/>
        <v>2799.707681</v>
      </c>
      <c r="E35" s="363">
        <v>0.0</v>
      </c>
      <c r="F35" s="364">
        <f t="shared" si="4"/>
        <v>437.4543251</v>
      </c>
      <c r="G35" s="363">
        <v>0.0</v>
      </c>
      <c r="H35" s="364">
        <f t="shared" si="5"/>
        <v>787.4177852</v>
      </c>
      <c r="I35" s="363">
        <v>0.0</v>
      </c>
      <c r="J35" s="364">
        <f t="shared" ref="J35:K35" si="22">J34+B35+D35+F35+H35</f>
        <v>74367.23527</v>
      </c>
      <c r="K35" s="364">
        <f t="shared" si="22"/>
        <v>0</v>
      </c>
      <c r="L35" s="365">
        <f t="shared" si="7"/>
        <v>74367.23527</v>
      </c>
    </row>
    <row r="36" ht="12.75" customHeight="1">
      <c r="A36" s="36" t="s">
        <v>167</v>
      </c>
      <c r="B36" s="362">
        <f t="shared" si="2"/>
        <v>349.9634601</v>
      </c>
      <c r="C36" s="363">
        <v>0.0</v>
      </c>
      <c r="D36" s="364">
        <f t="shared" si="3"/>
        <v>2799.707681</v>
      </c>
      <c r="E36" s="363">
        <v>0.0</v>
      </c>
      <c r="F36" s="364">
        <f t="shared" si="4"/>
        <v>437.4543251</v>
      </c>
      <c r="G36" s="363">
        <v>0.0</v>
      </c>
      <c r="H36" s="364">
        <f t="shared" si="5"/>
        <v>787.4177852</v>
      </c>
      <c r="I36" s="363">
        <v>0.0</v>
      </c>
      <c r="J36" s="364">
        <f t="shared" ref="J36:K36" si="23">J35+B36+D36+F36+H36</f>
        <v>78741.77852</v>
      </c>
      <c r="K36" s="364">
        <f t="shared" si="23"/>
        <v>0</v>
      </c>
      <c r="L36" s="365">
        <f t="shared" si="7"/>
        <v>78741.77852</v>
      </c>
    </row>
    <row r="37" ht="12.75" customHeight="1">
      <c r="A37" s="36" t="s">
        <v>168</v>
      </c>
      <c r="B37" s="362">
        <f t="shared" si="2"/>
        <v>349.9634601</v>
      </c>
      <c r="C37" s="363">
        <v>0.0</v>
      </c>
      <c r="D37" s="364">
        <f t="shared" si="3"/>
        <v>2799.707681</v>
      </c>
      <c r="E37" s="363">
        <v>0.0</v>
      </c>
      <c r="F37" s="364">
        <f t="shared" si="4"/>
        <v>437.4543251</v>
      </c>
      <c r="G37" s="363">
        <v>0.0</v>
      </c>
      <c r="H37" s="364">
        <f t="shared" si="5"/>
        <v>787.4177852</v>
      </c>
      <c r="I37" s="363">
        <v>0.0</v>
      </c>
      <c r="J37" s="364">
        <f t="shared" ref="J37:K37" si="24">J36+B37+D37+F37+H37</f>
        <v>83116.32177</v>
      </c>
      <c r="K37" s="364">
        <f t="shared" si="24"/>
        <v>0</v>
      </c>
      <c r="L37" s="365">
        <f t="shared" si="7"/>
        <v>83116.32177</v>
      </c>
    </row>
    <row r="38" ht="12.75" customHeight="1">
      <c r="A38" s="36" t="s">
        <v>169</v>
      </c>
      <c r="B38" s="362">
        <f t="shared" si="2"/>
        <v>349.9634601</v>
      </c>
      <c r="C38" s="363">
        <v>0.0</v>
      </c>
      <c r="D38" s="364">
        <f t="shared" si="3"/>
        <v>2799.707681</v>
      </c>
      <c r="E38" s="363">
        <v>0.0</v>
      </c>
      <c r="F38" s="364">
        <f t="shared" si="4"/>
        <v>437.4543251</v>
      </c>
      <c r="G38" s="363">
        <v>0.0</v>
      </c>
      <c r="H38" s="364">
        <f t="shared" si="5"/>
        <v>787.4177852</v>
      </c>
      <c r="I38" s="363">
        <v>0.0</v>
      </c>
      <c r="J38" s="364">
        <f t="shared" ref="J38:K38" si="25">J37+B38+D38+F38+H38</f>
        <v>87490.86502</v>
      </c>
      <c r="K38" s="364">
        <f t="shared" si="25"/>
        <v>0</v>
      </c>
      <c r="L38" s="365">
        <f t="shared" si="7"/>
        <v>87490.86502</v>
      </c>
    </row>
    <row r="39" ht="12.75" customHeight="1">
      <c r="A39" s="36" t="s">
        <v>170</v>
      </c>
      <c r="B39" s="362">
        <f t="shared" si="2"/>
        <v>349.9634601</v>
      </c>
      <c r="C39" s="363">
        <v>0.0</v>
      </c>
      <c r="D39" s="364">
        <f t="shared" si="3"/>
        <v>2799.707681</v>
      </c>
      <c r="E39" s="363">
        <v>0.0</v>
      </c>
      <c r="F39" s="364">
        <f t="shared" si="4"/>
        <v>437.4543251</v>
      </c>
      <c r="G39" s="363">
        <v>0.0</v>
      </c>
      <c r="H39" s="364">
        <f t="shared" si="5"/>
        <v>787.4177852</v>
      </c>
      <c r="I39" s="363">
        <v>0.0</v>
      </c>
      <c r="J39" s="364">
        <f t="shared" ref="J39:K39" si="26">J38+B39+D39+F39+H39</f>
        <v>91865.40828</v>
      </c>
      <c r="K39" s="364">
        <f t="shared" si="26"/>
        <v>0</v>
      </c>
      <c r="L39" s="365">
        <f t="shared" si="7"/>
        <v>91865.40828</v>
      </c>
    </row>
    <row r="40" ht="12.75" customHeight="1">
      <c r="A40" s="36" t="s">
        <v>171</v>
      </c>
      <c r="B40" s="362">
        <f t="shared" si="2"/>
        <v>349.9634601</v>
      </c>
      <c r="C40" s="363">
        <v>0.0</v>
      </c>
      <c r="D40" s="364">
        <f t="shared" si="3"/>
        <v>2799.707681</v>
      </c>
      <c r="E40" s="363">
        <v>0.0</v>
      </c>
      <c r="F40" s="364">
        <f t="shared" si="4"/>
        <v>437.4543251</v>
      </c>
      <c r="G40" s="363">
        <v>0.0</v>
      </c>
      <c r="H40" s="364">
        <f t="shared" si="5"/>
        <v>787.4177852</v>
      </c>
      <c r="I40" s="363">
        <v>0.0</v>
      </c>
      <c r="J40" s="364">
        <f t="shared" ref="J40:K40" si="27">J39+B40+D40+F40+H40</f>
        <v>96239.95153</v>
      </c>
      <c r="K40" s="364">
        <f t="shared" si="27"/>
        <v>0</v>
      </c>
      <c r="L40" s="365">
        <f t="shared" si="7"/>
        <v>96239.95153</v>
      </c>
    </row>
    <row r="41" ht="12.75" customHeight="1">
      <c r="A41" s="36" t="s">
        <v>172</v>
      </c>
      <c r="B41" s="362">
        <f t="shared" si="2"/>
        <v>349.9634601</v>
      </c>
      <c r="C41" s="363">
        <v>0.0</v>
      </c>
      <c r="D41" s="364">
        <f t="shared" si="3"/>
        <v>2799.707681</v>
      </c>
      <c r="E41" s="363">
        <v>0.0</v>
      </c>
      <c r="F41" s="364">
        <f t="shared" si="4"/>
        <v>437.4543251</v>
      </c>
      <c r="G41" s="363">
        <v>0.0</v>
      </c>
      <c r="H41" s="364">
        <f t="shared" si="5"/>
        <v>787.4177852</v>
      </c>
      <c r="I41" s="363">
        <v>0.0</v>
      </c>
      <c r="J41" s="364">
        <f t="shared" ref="J41:K41" si="28">J40+B41+D41+F41+H41</f>
        <v>100614.4948</v>
      </c>
      <c r="K41" s="364">
        <f t="shared" si="28"/>
        <v>0</v>
      </c>
      <c r="L41" s="365">
        <f t="shared" si="7"/>
        <v>100614.4948</v>
      </c>
    </row>
    <row r="42" ht="12.75" customHeight="1">
      <c r="A42" s="36" t="s">
        <v>173</v>
      </c>
      <c r="B42" s="362">
        <f t="shared" si="2"/>
        <v>349.9634601</v>
      </c>
      <c r="C42" s="363">
        <v>0.0</v>
      </c>
      <c r="D42" s="364">
        <f t="shared" si="3"/>
        <v>2799.707681</v>
      </c>
      <c r="E42" s="363">
        <v>0.0</v>
      </c>
      <c r="F42" s="364">
        <f t="shared" si="4"/>
        <v>437.4543251</v>
      </c>
      <c r="G42" s="363">
        <v>0.0</v>
      </c>
      <c r="H42" s="364">
        <f t="shared" si="5"/>
        <v>787.4177852</v>
      </c>
      <c r="I42" s="363">
        <v>0.0</v>
      </c>
      <c r="J42" s="364">
        <f t="shared" ref="J42:K42" si="29">J41+B42+D42+F42+H42</f>
        <v>104989.038</v>
      </c>
      <c r="K42" s="364">
        <f t="shared" si="29"/>
        <v>0</v>
      </c>
      <c r="L42" s="365">
        <f t="shared" si="7"/>
        <v>104989.038</v>
      </c>
    </row>
    <row r="43" ht="12.75" customHeight="1">
      <c r="A43" s="36" t="s">
        <v>174</v>
      </c>
      <c r="B43" s="362">
        <f t="shared" si="2"/>
        <v>349.9634601</v>
      </c>
      <c r="C43" s="363">
        <v>0.0</v>
      </c>
      <c r="D43" s="364">
        <f t="shared" si="3"/>
        <v>2799.707681</v>
      </c>
      <c r="E43" s="363">
        <v>0.0</v>
      </c>
      <c r="F43" s="364">
        <f t="shared" si="4"/>
        <v>437.4543251</v>
      </c>
      <c r="G43" s="363">
        <v>0.0</v>
      </c>
      <c r="H43" s="364">
        <f t="shared" si="5"/>
        <v>787.4177852</v>
      </c>
      <c r="I43" s="363">
        <v>0.0</v>
      </c>
      <c r="J43" s="364">
        <f t="shared" ref="J43:K43" si="30">J42+B43+D43+F43+H43</f>
        <v>109363.5813</v>
      </c>
      <c r="K43" s="364">
        <f t="shared" si="30"/>
        <v>0</v>
      </c>
      <c r="L43" s="365">
        <f t="shared" si="7"/>
        <v>109363.5813</v>
      </c>
    </row>
    <row r="44" ht="12.75" customHeight="1">
      <c r="A44" s="36" t="s">
        <v>175</v>
      </c>
      <c r="B44" s="362">
        <f t="shared" si="2"/>
        <v>349.9634601</v>
      </c>
      <c r="C44" s="363">
        <v>0.0</v>
      </c>
      <c r="D44" s="364">
        <f t="shared" si="3"/>
        <v>2799.707681</v>
      </c>
      <c r="E44" s="363">
        <v>0.0</v>
      </c>
      <c r="F44" s="364">
        <f t="shared" si="4"/>
        <v>437.4543251</v>
      </c>
      <c r="G44" s="363">
        <v>0.0</v>
      </c>
      <c r="H44" s="364">
        <f t="shared" si="5"/>
        <v>787.4177852</v>
      </c>
      <c r="I44" s="363">
        <v>0.0</v>
      </c>
      <c r="J44" s="364">
        <f t="shared" ref="J44:K44" si="31">J43+B44+D44+F44+H44</f>
        <v>113738.1245</v>
      </c>
      <c r="K44" s="364">
        <f t="shared" si="31"/>
        <v>0</v>
      </c>
      <c r="L44" s="365">
        <f t="shared" si="7"/>
        <v>113738.1245</v>
      </c>
    </row>
    <row r="45" ht="12.75" customHeight="1">
      <c r="A45" s="36" t="s">
        <v>176</v>
      </c>
      <c r="B45" s="367">
        <f t="shared" si="2"/>
        <v>349.9634601</v>
      </c>
      <c r="C45" s="368">
        <v>0.0</v>
      </c>
      <c r="D45" s="369">
        <f t="shared" si="3"/>
        <v>2799.707681</v>
      </c>
      <c r="E45" s="368">
        <v>0.0</v>
      </c>
      <c r="F45" s="369">
        <f t="shared" si="4"/>
        <v>437.4543251</v>
      </c>
      <c r="G45" s="368">
        <v>0.0</v>
      </c>
      <c r="H45" s="369">
        <f t="shared" si="5"/>
        <v>787.4177852</v>
      </c>
      <c r="I45" s="368">
        <v>0.0</v>
      </c>
      <c r="J45" s="369">
        <f t="shared" ref="J45:K45" si="32">J44+B45+D45+F45+H45</f>
        <v>118112.6678</v>
      </c>
      <c r="K45" s="369">
        <f t="shared" si="32"/>
        <v>0</v>
      </c>
      <c r="L45" s="370">
        <f t="shared" si="7"/>
        <v>118112.6678</v>
      </c>
    </row>
    <row r="46" ht="12.75" customHeight="1"/>
    <row r="47" ht="12.75" customHeight="1"/>
    <row r="48" ht="12.75" customHeight="1">
      <c r="A48" s="371" t="s">
        <v>177</v>
      </c>
      <c r="B48" s="108"/>
      <c r="C48" s="372" t="s">
        <v>178</v>
      </c>
      <c r="D48" s="373" t="s">
        <v>179</v>
      </c>
      <c r="E48" s="373" t="s">
        <v>180</v>
      </c>
      <c r="F48" s="374" t="s">
        <v>181</v>
      </c>
    </row>
    <row r="49" ht="14.25" customHeight="1">
      <c r="A49" s="375"/>
      <c r="B49" s="376"/>
      <c r="C49" s="377"/>
      <c r="D49" s="377"/>
      <c r="E49" s="377"/>
      <c r="F49" s="378"/>
    </row>
    <row r="50" ht="14.25" customHeight="1">
      <c r="A50" s="379"/>
      <c r="B50" s="380"/>
      <c r="C50" s="381"/>
      <c r="D50" s="381"/>
      <c r="E50" s="381"/>
      <c r="F50" s="382"/>
    </row>
    <row r="51" ht="14.25" customHeight="1">
      <c r="A51" s="379"/>
      <c r="B51" s="380"/>
      <c r="C51" s="381"/>
      <c r="D51" s="381"/>
      <c r="E51" s="381"/>
      <c r="F51" s="382"/>
    </row>
    <row r="52" ht="14.25" customHeight="1">
      <c r="A52" s="379"/>
      <c r="B52" s="380"/>
      <c r="C52" s="381"/>
      <c r="D52" s="381"/>
      <c r="E52" s="381"/>
      <c r="F52" s="382"/>
    </row>
    <row r="53" ht="14.25" customHeight="1">
      <c r="A53" s="379"/>
      <c r="B53" s="380"/>
      <c r="C53" s="381"/>
      <c r="D53" s="381"/>
      <c r="E53" s="381"/>
      <c r="F53" s="382"/>
    </row>
    <row r="54" ht="14.25" customHeight="1">
      <c r="A54" s="379"/>
      <c r="B54" s="380"/>
      <c r="C54" s="381"/>
      <c r="D54" s="381"/>
      <c r="E54" s="381"/>
      <c r="F54" s="382"/>
    </row>
    <row r="55" ht="14.25" customHeight="1">
      <c r="A55" s="379"/>
      <c r="B55" s="380"/>
      <c r="C55" s="381"/>
      <c r="D55" s="381"/>
      <c r="E55" s="381"/>
      <c r="F55" s="382"/>
    </row>
    <row r="56" ht="14.25" customHeight="1">
      <c r="A56" s="379"/>
      <c r="B56" s="380"/>
      <c r="C56" s="381"/>
      <c r="D56" s="381"/>
      <c r="E56" s="381"/>
      <c r="F56" s="382"/>
    </row>
    <row r="57" ht="14.25" customHeight="1">
      <c r="A57" s="379"/>
      <c r="B57" s="380"/>
      <c r="C57" s="381"/>
      <c r="D57" s="381"/>
      <c r="E57" s="381"/>
      <c r="F57" s="382"/>
    </row>
    <row r="58" ht="14.25" customHeight="1">
      <c r="A58" s="379"/>
      <c r="B58" s="380"/>
      <c r="C58" s="381"/>
      <c r="D58" s="381"/>
      <c r="E58" s="381"/>
      <c r="F58" s="382"/>
    </row>
    <row r="59" ht="14.25" customHeight="1">
      <c r="A59" s="379"/>
      <c r="B59" s="380"/>
      <c r="C59" s="381"/>
      <c r="D59" s="381"/>
      <c r="E59" s="381"/>
      <c r="F59" s="382"/>
    </row>
    <row r="60" ht="14.25" customHeight="1">
      <c r="A60" s="379"/>
      <c r="B60" s="380"/>
      <c r="C60" s="381"/>
      <c r="D60" s="381"/>
      <c r="E60" s="381"/>
      <c r="F60" s="382"/>
    </row>
    <row r="61" ht="14.25" customHeight="1">
      <c r="A61" s="379"/>
      <c r="B61" s="380"/>
      <c r="C61" s="381"/>
      <c r="D61" s="381"/>
      <c r="E61" s="381"/>
      <c r="F61" s="382"/>
    </row>
    <row r="62" ht="14.25" customHeight="1">
      <c r="A62" s="379"/>
      <c r="B62" s="380"/>
      <c r="C62" s="381"/>
      <c r="D62" s="381"/>
      <c r="E62" s="381"/>
      <c r="F62" s="382"/>
    </row>
    <row r="63" ht="14.25" customHeight="1">
      <c r="A63" s="379"/>
      <c r="B63" s="380"/>
      <c r="C63" s="381"/>
      <c r="D63" s="381"/>
      <c r="E63" s="381"/>
      <c r="F63" s="382"/>
    </row>
    <row r="64" ht="14.25" customHeight="1">
      <c r="A64" s="379"/>
      <c r="B64" s="380"/>
      <c r="C64" s="381"/>
      <c r="D64" s="381"/>
      <c r="E64" s="381"/>
      <c r="F64" s="382"/>
    </row>
    <row r="65" ht="14.25" customHeight="1">
      <c r="A65" s="379"/>
      <c r="B65" s="380"/>
      <c r="C65" s="381"/>
      <c r="D65" s="381"/>
      <c r="E65" s="381"/>
      <c r="F65" s="382"/>
    </row>
    <row r="66" ht="14.25" customHeight="1">
      <c r="A66" s="379"/>
      <c r="B66" s="380"/>
      <c r="C66" s="381"/>
      <c r="D66" s="381"/>
      <c r="E66" s="381"/>
      <c r="F66" s="382"/>
    </row>
    <row r="67" ht="14.25" customHeight="1">
      <c r="A67" s="379"/>
      <c r="B67" s="380"/>
      <c r="C67" s="381"/>
      <c r="D67" s="381"/>
      <c r="E67" s="381"/>
      <c r="F67" s="382"/>
    </row>
    <row r="68" ht="14.25" customHeight="1">
      <c r="A68" s="379"/>
      <c r="B68" s="380"/>
      <c r="C68" s="381"/>
      <c r="D68" s="381"/>
      <c r="E68" s="381"/>
      <c r="F68" s="382"/>
    </row>
    <row r="69" ht="12.75" customHeight="1">
      <c r="A69" s="383"/>
      <c r="B69" s="384"/>
      <c r="C69" s="385"/>
      <c r="D69" s="385"/>
      <c r="E69" s="385"/>
      <c r="F69" s="386"/>
    </row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3">
    <mergeCell ref="J1:M1"/>
    <mergeCell ref="D2:E2"/>
    <mergeCell ref="D3:E3"/>
    <mergeCell ref="D4:E4"/>
    <mergeCell ref="D6:E6"/>
    <mergeCell ref="D7:E7"/>
    <mergeCell ref="D8:E8"/>
    <mergeCell ref="D10:E10"/>
    <mergeCell ref="D11:E11"/>
    <mergeCell ref="D12:E12"/>
    <mergeCell ref="D14:E14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65:B65"/>
    <mergeCell ref="A66:B66"/>
    <mergeCell ref="A67:B67"/>
    <mergeCell ref="A68:B68"/>
    <mergeCell ref="A69:B69"/>
    <mergeCell ref="A58:B58"/>
    <mergeCell ref="A59:B59"/>
    <mergeCell ref="A60:B60"/>
    <mergeCell ref="A61:B61"/>
    <mergeCell ref="A62:B62"/>
    <mergeCell ref="A63:B63"/>
    <mergeCell ref="A64:B64"/>
  </mergeCells>
  <conditionalFormatting sqref="K19:K45">
    <cfRule type="cellIs" dxfId="1" priority="1" operator="greaterThan">
      <formula>$B$3</formula>
    </cfRule>
  </conditionalFormatting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25"/>
    <col customWidth="1" min="2" max="2" width="20.13"/>
    <col customWidth="1" min="3" max="3" width="15.0"/>
    <col customWidth="1" min="4" max="4" width="15.63"/>
    <col customWidth="1" min="5" max="5" width="25.75"/>
    <col customWidth="1" min="6" max="6" width="18.25"/>
    <col customWidth="1" min="7" max="7" width="14.75"/>
    <col customWidth="1" min="8" max="8" width="21.75"/>
    <col customWidth="1" min="9" max="9" width="11.0"/>
    <col customWidth="1" min="10" max="10" width="13.75"/>
    <col customWidth="1" min="11" max="11" width="12.63"/>
    <col customWidth="1" min="12" max="12" width="17.25"/>
    <col customWidth="1" min="13" max="13" width="13.13"/>
    <col customWidth="1" min="14" max="26" width="8.63"/>
  </cols>
  <sheetData>
    <row r="1" ht="12.75" customHeight="1">
      <c r="A1" s="310" t="s">
        <v>188</v>
      </c>
      <c r="J1" s="311" t="s">
        <v>118</v>
      </c>
      <c r="K1" s="167"/>
      <c r="L1" s="167"/>
      <c r="M1" s="79"/>
    </row>
    <row r="2" ht="12.75" customHeight="1">
      <c r="D2" s="312" t="s">
        <v>119</v>
      </c>
      <c r="E2" s="167"/>
      <c r="F2" s="345">
        <f>'Input Data'!G12</f>
        <v>7500</v>
      </c>
      <c r="G2" s="346"/>
      <c r="H2" s="315" t="s">
        <v>187</v>
      </c>
      <c r="J2" s="316" t="s">
        <v>115</v>
      </c>
      <c r="K2" s="317" t="s">
        <v>87</v>
      </c>
      <c r="L2" s="317" t="s">
        <v>88</v>
      </c>
      <c r="M2" s="318" t="s">
        <v>86</v>
      </c>
    </row>
    <row r="3" ht="12.75" customHeight="1">
      <c r="A3" s="319" t="s">
        <v>121</v>
      </c>
      <c r="B3" s="320">
        <f>'Sales Goals'!I11</f>
        <v>188673.1868</v>
      </c>
      <c r="D3" s="321" t="s">
        <v>122</v>
      </c>
      <c r="E3" s="172"/>
      <c r="F3" s="348">
        <f>B3*B9</f>
        <v>120750.8396</v>
      </c>
      <c r="G3" s="349" t="s">
        <v>123</v>
      </c>
      <c r="H3" s="324">
        <f>'Input Data'!G13</f>
        <v>0.5</v>
      </c>
      <c r="I3" s="3"/>
      <c r="J3" s="325"/>
      <c r="K3" s="326"/>
      <c r="L3" s="326"/>
      <c r="M3" s="327"/>
    </row>
    <row r="4" ht="12.75" customHeight="1">
      <c r="B4" s="36"/>
      <c r="D4" s="328" t="s">
        <v>124</v>
      </c>
      <c r="E4" s="108"/>
      <c r="F4" s="387">
        <f>F3/F2</f>
        <v>16.10011194</v>
      </c>
      <c r="G4" s="330"/>
      <c r="H4" s="331">
        <f>F4/H3</f>
        <v>32.20022388</v>
      </c>
      <c r="I4" s="3"/>
      <c r="J4" s="325">
        <f>H4/'Input Data'!G30</f>
        <v>0.5854586161</v>
      </c>
      <c r="K4" s="326"/>
      <c r="L4" s="326"/>
      <c r="M4" s="327">
        <f>F4/'Input Data'!G34</f>
        <v>0.7318232701</v>
      </c>
    </row>
    <row r="5" ht="12.75" customHeight="1">
      <c r="A5" s="332" t="s">
        <v>125</v>
      </c>
      <c r="B5" s="320">
        <f>((B3/31)*7)/'Break-even'!C25</f>
        <v>8520.724566</v>
      </c>
      <c r="F5" s="36"/>
      <c r="G5" s="36"/>
      <c r="H5" s="36"/>
      <c r="J5" s="325"/>
      <c r="K5" s="326"/>
      <c r="L5" s="326"/>
      <c r="M5" s="327"/>
    </row>
    <row r="6" ht="12.75" customHeight="1">
      <c r="B6" s="36"/>
      <c r="D6" s="312" t="s">
        <v>126</v>
      </c>
      <c r="E6" s="167"/>
      <c r="F6" s="345">
        <f>'Input Data'!G16</f>
        <v>400</v>
      </c>
      <c r="G6" s="346"/>
      <c r="H6" s="333" t="s">
        <v>127</v>
      </c>
      <c r="J6" s="334"/>
      <c r="K6" s="326"/>
      <c r="L6" s="326"/>
      <c r="M6" s="327"/>
    </row>
    <row r="7" ht="12.75" customHeight="1">
      <c r="A7" s="335" t="s">
        <v>35</v>
      </c>
      <c r="B7" s="320">
        <f>Budget!C36</f>
        <v>4885.054388</v>
      </c>
      <c r="D7" s="321" t="s">
        <v>128</v>
      </c>
      <c r="E7" s="172"/>
      <c r="F7" s="348">
        <f>B3*B11</f>
        <v>18867.31868</v>
      </c>
      <c r="G7" s="349" t="s">
        <v>123</v>
      </c>
      <c r="H7" s="324">
        <f>'Input Data'!G17</f>
        <v>1</v>
      </c>
      <c r="J7" s="325"/>
      <c r="K7" s="336"/>
      <c r="L7" s="326"/>
      <c r="M7" s="327"/>
    </row>
    <row r="8" ht="12.75" customHeight="1">
      <c r="B8" s="36"/>
      <c r="D8" s="328" t="s">
        <v>129</v>
      </c>
      <c r="E8" s="108"/>
      <c r="F8" s="351">
        <f>F7/F6</f>
        <v>47.16829671</v>
      </c>
      <c r="G8" s="330"/>
      <c r="H8" s="338">
        <f> F8/H7</f>
        <v>47.16829671</v>
      </c>
      <c r="J8" s="325"/>
      <c r="K8" s="326">
        <f>H8/'Input Data'!G31</f>
        <v>0.7146711622</v>
      </c>
      <c r="L8" s="326"/>
      <c r="M8" s="327"/>
    </row>
    <row r="9" ht="12.75" customHeight="1">
      <c r="A9" s="339" t="s">
        <v>130</v>
      </c>
      <c r="B9" s="340">
        <f>'Input Data'!G6</f>
        <v>0.64</v>
      </c>
      <c r="F9" s="36"/>
      <c r="G9" s="36"/>
      <c r="H9" s="36"/>
      <c r="J9" s="325"/>
      <c r="K9" s="326"/>
      <c r="L9" s="326"/>
      <c r="M9" s="327"/>
    </row>
    <row r="10" ht="12.75" customHeight="1">
      <c r="B10" s="36"/>
      <c r="D10" s="312" t="s">
        <v>131</v>
      </c>
      <c r="E10" s="167"/>
      <c r="F10" s="345">
        <f>'Input Data'!G20</f>
        <v>150</v>
      </c>
      <c r="G10" s="346"/>
      <c r="H10" s="333" t="s">
        <v>127</v>
      </c>
      <c r="J10" s="325"/>
      <c r="K10" s="326"/>
      <c r="L10" s="326"/>
      <c r="M10" s="327"/>
    </row>
    <row r="11" ht="12.75" customHeight="1">
      <c r="A11" s="339" t="s">
        <v>132</v>
      </c>
      <c r="B11" s="340">
        <f>'Input Data'!G7</f>
        <v>0.1</v>
      </c>
      <c r="D11" s="321" t="s">
        <v>133</v>
      </c>
      <c r="E11" s="172"/>
      <c r="F11" s="348">
        <f>B3*B13</f>
        <v>15093.85495</v>
      </c>
      <c r="G11" s="349" t="s">
        <v>123</v>
      </c>
      <c r="H11" s="324">
        <f>'Input Data'!G21</f>
        <v>1</v>
      </c>
      <c r="J11" s="325"/>
      <c r="K11" s="326"/>
      <c r="L11" s="326"/>
      <c r="M11" s="327"/>
    </row>
    <row r="12" ht="12.75" customHeight="1">
      <c r="A12" s="278"/>
      <c r="B12" s="342"/>
      <c r="D12" s="328" t="s">
        <v>134</v>
      </c>
      <c r="E12" s="169"/>
      <c r="F12" s="351">
        <f>F11/F10</f>
        <v>100.6256996</v>
      </c>
      <c r="G12" s="330"/>
      <c r="H12" s="338">
        <f> F12/H11</f>
        <v>100.6256996</v>
      </c>
      <c r="J12" s="325"/>
      <c r="K12" s="326">
        <f>H12/'Input Data'!G32</f>
        <v>1.076210691</v>
      </c>
      <c r="L12" s="326"/>
      <c r="M12" s="327"/>
    </row>
    <row r="13" ht="12.75" customHeight="1">
      <c r="A13" s="328" t="s">
        <v>135</v>
      </c>
      <c r="B13" s="340">
        <f>'Input Data'!G8</f>
        <v>0.08</v>
      </c>
      <c r="J13" s="325"/>
      <c r="K13" s="326"/>
      <c r="L13" s="326"/>
      <c r="M13" s="327"/>
    </row>
    <row r="14" ht="12.75" customHeight="1">
      <c r="D14" s="312" t="s">
        <v>136</v>
      </c>
      <c r="E14" s="79"/>
      <c r="F14" s="345">
        <f>'Input Data'!G24</f>
        <v>750</v>
      </c>
      <c r="G14" s="346"/>
      <c r="H14" s="333" t="s">
        <v>127</v>
      </c>
      <c r="J14" s="325"/>
      <c r="K14" s="326"/>
      <c r="L14" s="326"/>
      <c r="M14" s="327"/>
    </row>
    <row r="15" ht="12.75" customHeight="1">
      <c r="A15" s="328" t="s">
        <v>137</v>
      </c>
      <c r="B15" s="324">
        <f>'Input Data'!G9</f>
        <v>0.18</v>
      </c>
      <c r="D15" s="347" t="s">
        <v>128</v>
      </c>
      <c r="E15" s="165"/>
      <c r="F15" s="348">
        <f>B3*B15</f>
        <v>33961.17363</v>
      </c>
      <c r="G15" s="349" t="s">
        <v>123</v>
      </c>
      <c r="H15" s="324">
        <f>'Input Data'!G25</f>
        <v>1</v>
      </c>
      <c r="J15" s="325"/>
      <c r="K15" s="326"/>
      <c r="L15" s="326"/>
      <c r="M15" s="327"/>
    </row>
    <row r="16" ht="12.75" customHeight="1">
      <c r="D16" s="328" t="s">
        <v>138</v>
      </c>
      <c r="E16" s="350"/>
      <c r="F16" s="351">
        <f>F15/F14</f>
        <v>45.28156484</v>
      </c>
      <c r="G16" s="330"/>
      <c r="H16" s="338">
        <f> F16/H15</f>
        <v>45.28156484</v>
      </c>
      <c r="J16" s="352"/>
      <c r="K16" s="388"/>
      <c r="L16" s="353" t="str">
        <f>H16/'Input Data'!G33</f>
        <v>#DIV/0!</v>
      </c>
      <c r="M16" s="354"/>
    </row>
    <row r="17" ht="12.75" customHeight="1"/>
    <row r="18" ht="12.75" customHeight="1">
      <c r="B18" s="355" t="s">
        <v>139</v>
      </c>
      <c r="C18" s="356" t="s">
        <v>140</v>
      </c>
      <c r="D18" s="356" t="s">
        <v>141</v>
      </c>
      <c r="E18" s="357" t="s">
        <v>184</v>
      </c>
      <c r="F18" s="356" t="s">
        <v>143</v>
      </c>
      <c r="G18" s="356" t="s">
        <v>185</v>
      </c>
      <c r="H18" s="356" t="s">
        <v>145</v>
      </c>
      <c r="I18" s="356" t="s">
        <v>146</v>
      </c>
      <c r="J18" s="356" t="s">
        <v>147</v>
      </c>
      <c r="K18" s="356" t="s">
        <v>148</v>
      </c>
      <c r="L18" s="356" t="s">
        <v>149</v>
      </c>
    </row>
    <row r="19" ht="12.75" customHeight="1">
      <c r="A19" s="36" t="s">
        <v>150</v>
      </c>
      <c r="B19" s="358">
        <f t="shared" ref="B19:B45" si="2">$B$5*$B$11</f>
        <v>852.0724566</v>
      </c>
      <c r="C19" s="305">
        <v>0.0</v>
      </c>
      <c r="D19" s="359">
        <f t="shared" ref="D19:D45" si="3">$B$5*$B$9</f>
        <v>5453.263722</v>
      </c>
      <c r="E19" s="305">
        <v>0.0</v>
      </c>
      <c r="F19" s="359">
        <f t="shared" ref="F19:F45" si="4">$B$5*$B$13</f>
        <v>681.6579653</v>
      </c>
      <c r="G19" s="305">
        <v>0.0</v>
      </c>
      <c r="H19" s="359">
        <f t="shared" ref="H19:H45" si="5">$B$5*$B$15</f>
        <v>1533.730422</v>
      </c>
      <c r="I19" s="305">
        <v>0.0</v>
      </c>
      <c r="J19" s="359">
        <f t="shared" ref="J19:K19" si="1">B19+D19+F19+H19</f>
        <v>8520.724566</v>
      </c>
      <c r="K19" s="360">
        <f t="shared" si="1"/>
        <v>0</v>
      </c>
      <c r="L19" s="361">
        <f t="shared" ref="L19:L45" si="7">J19-K19</f>
        <v>8520.724566</v>
      </c>
    </row>
    <row r="20" ht="12.75" customHeight="1">
      <c r="A20" s="36" t="s">
        <v>151</v>
      </c>
      <c r="B20" s="362">
        <f t="shared" si="2"/>
        <v>852.0724566</v>
      </c>
      <c r="C20" s="363">
        <v>0.0</v>
      </c>
      <c r="D20" s="364">
        <f t="shared" si="3"/>
        <v>5453.263722</v>
      </c>
      <c r="E20" s="363">
        <v>0.0</v>
      </c>
      <c r="F20" s="364">
        <f t="shared" si="4"/>
        <v>681.6579653</v>
      </c>
      <c r="G20" s="363">
        <v>0.0</v>
      </c>
      <c r="H20" s="364">
        <f t="shared" si="5"/>
        <v>1533.730422</v>
      </c>
      <c r="I20" s="363">
        <v>0.0</v>
      </c>
      <c r="J20" s="364">
        <f t="shared" ref="J20:K20" si="6">J19+B20+D20+F20+H20</f>
        <v>17041.44913</v>
      </c>
      <c r="K20" s="364">
        <f t="shared" si="6"/>
        <v>0</v>
      </c>
      <c r="L20" s="365">
        <f t="shared" si="7"/>
        <v>17041.44913</v>
      </c>
    </row>
    <row r="21" ht="12.75" customHeight="1">
      <c r="A21" s="36" t="s">
        <v>152</v>
      </c>
      <c r="B21" s="362">
        <f t="shared" si="2"/>
        <v>852.0724566</v>
      </c>
      <c r="C21" s="363">
        <v>0.0</v>
      </c>
      <c r="D21" s="364">
        <f t="shared" si="3"/>
        <v>5453.263722</v>
      </c>
      <c r="E21" s="363">
        <v>0.0</v>
      </c>
      <c r="F21" s="364">
        <f t="shared" si="4"/>
        <v>681.6579653</v>
      </c>
      <c r="G21" s="363">
        <v>0.0</v>
      </c>
      <c r="H21" s="364">
        <f t="shared" si="5"/>
        <v>1533.730422</v>
      </c>
      <c r="I21" s="363">
        <v>0.0</v>
      </c>
      <c r="J21" s="364">
        <f t="shared" ref="J21:K21" si="8">J20+B21+D21+F21+H21</f>
        <v>25562.1737</v>
      </c>
      <c r="K21" s="364">
        <f t="shared" si="8"/>
        <v>0</v>
      </c>
      <c r="L21" s="365">
        <f t="shared" si="7"/>
        <v>25562.1737</v>
      </c>
    </row>
    <row r="22" ht="12.75" customHeight="1">
      <c r="A22" s="36" t="s">
        <v>153</v>
      </c>
      <c r="B22" s="362">
        <f t="shared" si="2"/>
        <v>852.0724566</v>
      </c>
      <c r="C22" s="363">
        <v>0.0</v>
      </c>
      <c r="D22" s="364">
        <f t="shared" si="3"/>
        <v>5453.263722</v>
      </c>
      <c r="E22" s="363">
        <v>0.0</v>
      </c>
      <c r="F22" s="364">
        <f t="shared" si="4"/>
        <v>681.6579653</v>
      </c>
      <c r="G22" s="363">
        <v>0.0</v>
      </c>
      <c r="H22" s="364">
        <f t="shared" si="5"/>
        <v>1533.730422</v>
      </c>
      <c r="I22" s="363">
        <v>0.0</v>
      </c>
      <c r="J22" s="364">
        <f t="shared" ref="J22:K22" si="9">J21+B22+D22+F22+H22</f>
        <v>34082.89827</v>
      </c>
      <c r="K22" s="364">
        <f t="shared" si="9"/>
        <v>0</v>
      </c>
      <c r="L22" s="365">
        <f t="shared" si="7"/>
        <v>34082.89827</v>
      </c>
    </row>
    <row r="23" ht="12.75" customHeight="1">
      <c r="A23" s="36" t="s">
        <v>154</v>
      </c>
      <c r="B23" s="362">
        <f t="shared" si="2"/>
        <v>852.0724566</v>
      </c>
      <c r="C23" s="363">
        <v>0.0</v>
      </c>
      <c r="D23" s="364">
        <f t="shared" si="3"/>
        <v>5453.263722</v>
      </c>
      <c r="E23" s="363">
        <v>0.0</v>
      </c>
      <c r="F23" s="364">
        <f t="shared" si="4"/>
        <v>681.6579653</v>
      </c>
      <c r="G23" s="363">
        <v>0.0</v>
      </c>
      <c r="H23" s="364">
        <f t="shared" si="5"/>
        <v>1533.730422</v>
      </c>
      <c r="I23" s="363">
        <v>0.0</v>
      </c>
      <c r="J23" s="364">
        <f t="shared" ref="J23:K23" si="10">J22+B23+D23+F23+H23</f>
        <v>42603.62283</v>
      </c>
      <c r="K23" s="364">
        <f t="shared" si="10"/>
        <v>0</v>
      </c>
      <c r="L23" s="365">
        <f t="shared" si="7"/>
        <v>42603.62283</v>
      </c>
    </row>
    <row r="24" ht="12.75" customHeight="1">
      <c r="A24" s="36" t="s">
        <v>155</v>
      </c>
      <c r="B24" s="362">
        <f t="shared" si="2"/>
        <v>852.0724566</v>
      </c>
      <c r="C24" s="363">
        <v>0.0</v>
      </c>
      <c r="D24" s="364">
        <f t="shared" si="3"/>
        <v>5453.263722</v>
      </c>
      <c r="E24" s="363">
        <v>0.0</v>
      </c>
      <c r="F24" s="364">
        <f t="shared" si="4"/>
        <v>681.6579653</v>
      </c>
      <c r="G24" s="363">
        <v>0.0</v>
      </c>
      <c r="H24" s="364">
        <f t="shared" si="5"/>
        <v>1533.730422</v>
      </c>
      <c r="I24" s="363">
        <v>0.0</v>
      </c>
      <c r="J24" s="364">
        <f t="shared" ref="J24:K24" si="11">J23+B24+D24+F24+H24</f>
        <v>51124.3474</v>
      </c>
      <c r="K24" s="364">
        <f t="shared" si="11"/>
        <v>0</v>
      </c>
      <c r="L24" s="365">
        <f t="shared" si="7"/>
        <v>51124.3474</v>
      </c>
    </row>
    <row r="25" ht="12.75" customHeight="1">
      <c r="A25" s="36" t="s">
        <v>156</v>
      </c>
      <c r="B25" s="362">
        <f t="shared" si="2"/>
        <v>852.0724566</v>
      </c>
      <c r="C25" s="363">
        <v>0.0</v>
      </c>
      <c r="D25" s="364">
        <f t="shared" si="3"/>
        <v>5453.263722</v>
      </c>
      <c r="E25" s="363">
        <v>0.0</v>
      </c>
      <c r="F25" s="364">
        <f t="shared" si="4"/>
        <v>681.6579653</v>
      </c>
      <c r="G25" s="363">
        <v>0.0</v>
      </c>
      <c r="H25" s="364">
        <f t="shared" si="5"/>
        <v>1533.730422</v>
      </c>
      <c r="I25" s="363">
        <v>0.0</v>
      </c>
      <c r="J25" s="364">
        <f t="shared" ref="J25:K25" si="12">J24+B25+D25+F25+H25</f>
        <v>59645.07196</v>
      </c>
      <c r="K25" s="364">
        <f t="shared" si="12"/>
        <v>0</v>
      </c>
      <c r="L25" s="365">
        <f t="shared" si="7"/>
        <v>59645.07196</v>
      </c>
    </row>
    <row r="26" ht="12.75" customHeight="1">
      <c r="A26" s="36" t="s">
        <v>157</v>
      </c>
      <c r="B26" s="362">
        <f t="shared" si="2"/>
        <v>852.0724566</v>
      </c>
      <c r="C26" s="363">
        <v>0.0</v>
      </c>
      <c r="D26" s="364">
        <f t="shared" si="3"/>
        <v>5453.263722</v>
      </c>
      <c r="E26" s="363">
        <v>0.0</v>
      </c>
      <c r="F26" s="364">
        <f t="shared" si="4"/>
        <v>681.6579653</v>
      </c>
      <c r="G26" s="363">
        <v>0.0</v>
      </c>
      <c r="H26" s="364">
        <f t="shared" si="5"/>
        <v>1533.730422</v>
      </c>
      <c r="I26" s="363">
        <v>0.0</v>
      </c>
      <c r="J26" s="364">
        <f t="shared" ref="J26:K26" si="13">J25+B26+D26+F26+H26</f>
        <v>68165.79653</v>
      </c>
      <c r="K26" s="364">
        <f t="shared" si="13"/>
        <v>0</v>
      </c>
      <c r="L26" s="365">
        <f t="shared" si="7"/>
        <v>68165.79653</v>
      </c>
    </row>
    <row r="27" ht="12.75" customHeight="1">
      <c r="A27" s="36" t="s">
        <v>158</v>
      </c>
      <c r="B27" s="362">
        <f t="shared" si="2"/>
        <v>852.0724566</v>
      </c>
      <c r="C27" s="363">
        <v>0.0</v>
      </c>
      <c r="D27" s="364">
        <f t="shared" si="3"/>
        <v>5453.263722</v>
      </c>
      <c r="E27" s="363">
        <v>0.0</v>
      </c>
      <c r="F27" s="364">
        <f t="shared" si="4"/>
        <v>681.6579653</v>
      </c>
      <c r="G27" s="363">
        <v>0.0</v>
      </c>
      <c r="H27" s="364">
        <f t="shared" si="5"/>
        <v>1533.730422</v>
      </c>
      <c r="I27" s="363">
        <v>0.0</v>
      </c>
      <c r="J27" s="364">
        <f t="shared" ref="J27:K27" si="14">J26+B27+D27+F27+H27</f>
        <v>76686.5211</v>
      </c>
      <c r="K27" s="364">
        <f t="shared" si="14"/>
        <v>0</v>
      </c>
      <c r="L27" s="365">
        <f t="shared" si="7"/>
        <v>76686.5211</v>
      </c>
    </row>
    <row r="28" ht="12.75" customHeight="1">
      <c r="A28" s="36" t="s">
        <v>159</v>
      </c>
      <c r="B28" s="362">
        <f t="shared" si="2"/>
        <v>852.0724566</v>
      </c>
      <c r="C28" s="363">
        <v>0.0</v>
      </c>
      <c r="D28" s="364">
        <f t="shared" si="3"/>
        <v>5453.263722</v>
      </c>
      <c r="E28" s="363">
        <v>0.0</v>
      </c>
      <c r="F28" s="364">
        <f t="shared" si="4"/>
        <v>681.6579653</v>
      </c>
      <c r="G28" s="363">
        <v>0.0</v>
      </c>
      <c r="H28" s="364">
        <f t="shared" si="5"/>
        <v>1533.730422</v>
      </c>
      <c r="I28" s="363">
        <v>0.0</v>
      </c>
      <c r="J28" s="364">
        <f t="shared" ref="J28:K28" si="15">J27+B28+D28+F28+H28</f>
        <v>85207.24566</v>
      </c>
      <c r="K28" s="364">
        <f t="shared" si="15"/>
        <v>0</v>
      </c>
      <c r="L28" s="365">
        <f t="shared" si="7"/>
        <v>85207.24566</v>
      </c>
    </row>
    <row r="29" ht="12.75" customHeight="1">
      <c r="A29" s="36" t="s">
        <v>160</v>
      </c>
      <c r="B29" s="362">
        <f t="shared" si="2"/>
        <v>852.0724566</v>
      </c>
      <c r="C29" s="363">
        <v>0.0</v>
      </c>
      <c r="D29" s="364">
        <f t="shared" si="3"/>
        <v>5453.263722</v>
      </c>
      <c r="E29" s="363">
        <v>0.0</v>
      </c>
      <c r="F29" s="364">
        <f t="shared" si="4"/>
        <v>681.6579653</v>
      </c>
      <c r="G29" s="363">
        <v>0.0</v>
      </c>
      <c r="H29" s="364">
        <f t="shared" si="5"/>
        <v>1533.730422</v>
      </c>
      <c r="I29" s="363">
        <v>0.0</v>
      </c>
      <c r="J29" s="364">
        <f t="shared" ref="J29:K29" si="16">J28+B29+D29+F29+H29</f>
        <v>93727.97023</v>
      </c>
      <c r="K29" s="364">
        <f t="shared" si="16"/>
        <v>0</v>
      </c>
      <c r="L29" s="365">
        <f t="shared" si="7"/>
        <v>93727.97023</v>
      </c>
    </row>
    <row r="30" ht="12.75" customHeight="1">
      <c r="A30" s="36" t="s">
        <v>161</v>
      </c>
      <c r="B30" s="362">
        <f t="shared" si="2"/>
        <v>852.0724566</v>
      </c>
      <c r="C30" s="363">
        <v>0.0</v>
      </c>
      <c r="D30" s="364">
        <f t="shared" si="3"/>
        <v>5453.263722</v>
      </c>
      <c r="E30" s="363">
        <v>0.0</v>
      </c>
      <c r="F30" s="364">
        <f t="shared" si="4"/>
        <v>681.6579653</v>
      </c>
      <c r="G30" s="363">
        <v>0.0</v>
      </c>
      <c r="H30" s="364">
        <f t="shared" si="5"/>
        <v>1533.730422</v>
      </c>
      <c r="I30" s="363">
        <v>0.0</v>
      </c>
      <c r="J30" s="364">
        <f t="shared" ref="J30:K30" si="17">J29+B30+D30+F30+H30</f>
        <v>102248.6948</v>
      </c>
      <c r="K30" s="364">
        <f t="shared" si="17"/>
        <v>0</v>
      </c>
      <c r="L30" s="365">
        <f t="shared" si="7"/>
        <v>102248.6948</v>
      </c>
    </row>
    <row r="31" ht="12.75" customHeight="1">
      <c r="A31" s="36" t="s">
        <v>162</v>
      </c>
      <c r="B31" s="362">
        <f t="shared" si="2"/>
        <v>852.0724566</v>
      </c>
      <c r="C31" s="363">
        <v>0.0</v>
      </c>
      <c r="D31" s="364">
        <f t="shared" si="3"/>
        <v>5453.263722</v>
      </c>
      <c r="E31" s="363">
        <v>0.0</v>
      </c>
      <c r="F31" s="364">
        <f t="shared" si="4"/>
        <v>681.6579653</v>
      </c>
      <c r="G31" s="363">
        <v>0.0</v>
      </c>
      <c r="H31" s="364">
        <f t="shared" si="5"/>
        <v>1533.730422</v>
      </c>
      <c r="I31" s="363">
        <v>0.0</v>
      </c>
      <c r="J31" s="364">
        <f t="shared" ref="J31:K31" si="18">J30+B31+D31+F31+H31</f>
        <v>110769.4194</v>
      </c>
      <c r="K31" s="364">
        <f t="shared" si="18"/>
        <v>0</v>
      </c>
      <c r="L31" s="365">
        <f t="shared" si="7"/>
        <v>110769.4194</v>
      </c>
    </row>
    <row r="32" ht="12.75" customHeight="1">
      <c r="A32" s="36" t="s">
        <v>163</v>
      </c>
      <c r="B32" s="362">
        <f t="shared" si="2"/>
        <v>852.0724566</v>
      </c>
      <c r="C32" s="363">
        <v>0.0</v>
      </c>
      <c r="D32" s="364">
        <f t="shared" si="3"/>
        <v>5453.263722</v>
      </c>
      <c r="E32" s="363">
        <v>0.0</v>
      </c>
      <c r="F32" s="364">
        <f t="shared" si="4"/>
        <v>681.6579653</v>
      </c>
      <c r="G32" s="363">
        <v>0.0</v>
      </c>
      <c r="H32" s="364">
        <f t="shared" si="5"/>
        <v>1533.730422</v>
      </c>
      <c r="I32" s="363">
        <v>0.0</v>
      </c>
      <c r="J32" s="364">
        <f t="shared" ref="J32:K32" si="19">J31+B32+D32+F32+H32</f>
        <v>119290.1439</v>
      </c>
      <c r="K32" s="364">
        <f t="shared" si="19"/>
        <v>0</v>
      </c>
      <c r="L32" s="365">
        <f t="shared" si="7"/>
        <v>119290.1439</v>
      </c>
    </row>
    <row r="33" ht="12.75" customHeight="1">
      <c r="A33" s="36" t="s">
        <v>164</v>
      </c>
      <c r="B33" s="362">
        <f t="shared" si="2"/>
        <v>852.0724566</v>
      </c>
      <c r="C33" s="363">
        <v>0.0</v>
      </c>
      <c r="D33" s="364">
        <f t="shared" si="3"/>
        <v>5453.263722</v>
      </c>
      <c r="E33" s="363">
        <v>0.0</v>
      </c>
      <c r="F33" s="364">
        <f t="shared" si="4"/>
        <v>681.6579653</v>
      </c>
      <c r="G33" s="363">
        <v>0.0</v>
      </c>
      <c r="H33" s="364">
        <f t="shared" si="5"/>
        <v>1533.730422</v>
      </c>
      <c r="I33" s="363">
        <v>0.0</v>
      </c>
      <c r="J33" s="364">
        <f t="shared" ref="J33:K33" si="20">J32+B33+D33+F33+H33</f>
        <v>127810.8685</v>
      </c>
      <c r="K33" s="364">
        <f t="shared" si="20"/>
        <v>0</v>
      </c>
      <c r="L33" s="365">
        <f t="shared" si="7"/>
        <v>127810.8685</v>
      </c>
    </row>
    <row r="34" ht="12.75" customHeight="1">
      <c r="A34" s="36" t="s">
        <v>165</v>
      </c>
      <c r="B34" s="362">
        <f t="shared" si="2"/>
        <v>852.0724566</v>
      </c>
      <c r="C34" s="363">
        <v>0.0</v>
      </c>
      <c r="D34" s="364">
        <f t="shared" si="3"/>
        <v>5453.263722</v>
      </c>
      <c r="E34" s="363">
        <v>0.0</v>
      </c>
      <c r="F34" s="364">
        <f t="shared" si="4"/>
        <v>681.6579653</v>
      </c>
      <c r="G34" s="363">
        <v>0.0</v>
      </c>
      <c r="H34" s="364">
        <f t="shared" si="5"/>
        <v>1533.730422</v>
      </c>
      <c r="I34" s="363">
        <v>0.0</v>
      </c>
      <c r="J34" s="364">
        <f t="shared" ref="J34:K34" si="21">J33+B34+D34+F34+H34</f>
        <v>136331.5931</v>
      </c>
      <c r="K34" s="364">
        <f t="shared" si="21"/>
        <v>0</v>
      </c>
      <c r="L34" s="365">
        <f t="shared" si="7"/>
        <v>136331.5931</v>
      </c>
    </row>
    <row r="35" ht="12.75" customHeight="1">
      <c r="A35" s="36" t="s">
        <v>166</v>
      </c>
      <c r="B35" s="362">
        <f t="shared" si="2"/>
        <v>852.0724566</v>
      </c>
      <c r="C35" s="363">
        <v>0.0</v>
      </c>
      <c r="D35" s="364">
        <f t="shared" si="3"/>
        <v>5453.263722</v>
      </c>
      <c r="E35" s="363">
        <v>0.0</v>
      </c>
      <c r="F35" s="364">
        <f t="shared" si="4"/>
        <v>681.6579653</v>
      </c>
      <c r="G35" s="363">
        <v>0.0</v>
      </c>
      <c r="H35" s="364">
        <f t="shared" si="5"/>
        <v>1533.730422</v>
      </c>
      <c r="I35" s="363">
        <v>0.0</v>
      </c>
      <c r="J35" s="364">
        <f t="shared" ref="J35:K35" si="22">J34+B35+D35+F35+H35</f>
        <v>144852.3176</v>
      </c>
      <c r="K35" s="364">
        <f t="shared" si="22"/>
        <v>0</v>
      </c>
      <c r="L35" s="365">
        <f t="shared" si="7"/>
        <v>144852.3176</v>
      </c>
    </row>
    <row r="36" ht="12.75" customHeight="1">
      <c r="A36" s="36" t="s">
        <v>167</v>
      </c>
      <c r="B36" s="362">
        <f t="shared" si="2"/>
        <v>852.0724566</v>
      </c>
      <c r="C36" s="363">
        <v>0.0</v>
      </c>
      <c r="D36" s="364">
        <f t="shared" si="3"/>
        <v>5453.263722</v>
      </c>
      <c r="E36" s="363">
        <v>0.0</v>
      </c>
      <c r="F36" s="364">
        <f t="shared" si="4"/>
        <v>681.6579653</v>
      </c>
      <c r="G36" s="363">
        <v>0.0</v>
      </c>
      <c r="H36" s="364">
        <f t="shared" si="5"/>
        <v>1533.730422</v>
      </c>
      <c r="I36" s="363">
        <v>0.0</v>
      </c>
      <c r="J36" s="364">
        <f t="shared" ref="J36:K36" si="23">J35+B36+D36+F36+H36</f>
        <v>153373.0422</v>
      </c>
      <c r="K36" s="364">
        <f t="shared" si="23"/>
        <v>0</v>
      </c>
      <c r="L36" s="365">
        <f t="shared" si="7"/>
        <v>153373.0422</v>
      </c>
    </row>
    <row r="37" ht="12.75" customHeight="1">
      <c r="A37" s="36" t="s">
        <v>168</v>
      </c>
      <c r="B37" s="362">
        <f t="shared" si="2"/>
        <v>852.0724566</v>
      </c>
      <c r="C37" s="363">
        <v>0.0</v>
      </c>
      <c r="D37" s="364">
        <f t="shared" si="3"/>
        <v>5453.263722</v>
      </c>
      <c r="E37" s="363">
        <v>0.0</v>
      </c>
      <c r="F37" s="364">
        <f t="shared" si="4"/>
        <v>681.6579653</v>
      </c>
      <c r="G37" s="363">
        <v>0.0</v>
      </c>
      <c r="H37" s="364">
        <f t="shared" si="5"/>
        <v>1533.730422</v>
      </c>
      <c r="I37" s="363">
        <v>0.0</v>
      </c>
      <c r="J37" s="364">
        <f t="shared" ref="J37:K37" si="24">J36+B37+D37+F37+H37</f>
        <v>161893.7668</v>
      </c>
      <c r="K37" s="364">
        <f t="shared" si="24"/>
        <v>0</v>
      </c>
      <c r="L37" s="365">
        <f t="shared" si="7"/>
        <v>161893.7668</v>
      </c>
    </row>
    <row r="38" ht="12.75" customHeight="1">
      <c r="A38" s="36" t="s">
        <v>169</v>
      </c>
      <c r="B38" s="362">
        <f t="shared" si="2"/>
        <v>852.0724566</v>
      </c>
      <c r="C38" s="363">
        <v>0.0</v>
      </c>
      <c r="D38" s="364">
        <f t="shared" si="3"/>
        <v>5453.263722</v>
      </c>
      <c r="E38" s="363">
        <v>0.0</v>
      </c>
      <c r="F38" s="364">
        <f t="shared" si="4"/>
        <v>681.6579653</v>
      </c>
      <c r="G38" s="363">
        <v>0.0</v>
      </c>
      <c r="H38" s="364">
        <f t="shared" si="5"/>
        <v>1533.730422</v>
      </c>
      <c r="I38" s="363">
        <v>0.0</v>
      </c>
      <c r="J38" s="364">
        <f t="shared" ref="J38:K38" si="25">J37+B38+D38+F38+H38</f>
        <v>170414.4913</v>
      </c>
      <c r="K38" s="364">
        <f t="shared" si="25"/>
        <v>0</v>
      </c>
      <c r="L38" s="365">
        <f t="shared" si="7"/>
        <v>170414.4913</v>
      </c>
    </row>
    <row r="39" ht="12.75" customHeight="1">
      <c r="A39" s="36" t="s">
        <v>170</v>
      </c>
      <c r="B39" s="362">
        <f t="shared" si="2"/>
        <v>852.0724566</v>
      </c>
      <c r="C39" s="363">
        <v>0.0</v>
      </c>
      <c r="D39" s="364">
        <f t="shared" si="3"/>
        <v>5453.263722</v>
      </c>
      <c r="E39" s="363">
        <v>0.0</v>
      </c>
      <c r="F39" s="364">
        <f t="shared" si="4"/>
        <v>681.6579653</v>
      </c>
      <c r="G39" s="363">
        <v>0.0</v>
      </c>
      <c r="H39" s="364">
        <f t="shared" si="5"/>
        <v>1533.730422</v>
      </c>
      <c r="I39" s="363">
        <v>0.0</v>
      </c>
      <c r="J39" s="364">
        <f t="shared" ref="J39:K39" si="26">J38+B39+D39+F39+H39</f>
        <v>178935.2159</v>
      </c>
      <c r="K39" s="364">
        <f t="shared" si="26"/>
        <v>0</v>
      </c>
      <c r="L39" s="365">
        <f t="shared" si="7"/>
        <v>178935.2159</v>
      </c>
    </row>
    <row r="40" ht="12.75" customHeight="1">
      <c r="A40" s="36" t="s">
        <v>171</v>
      </c>
      <c r="B40" s="362">
        <f t="shared" si="2"/>
        <v>852.0724566</v>
      </c>
      <c r="C40" s="363">
        <v>0.0</v>
      </c>
      <c r="D40" s="364">
        <f t="shared" si="3"/>
        <v>5453.263722</v>
      </c>
      <c r="E40" s="363">
        <v>0.0</v>
      </c>
      <c r="F40" s="364">
        <f t="shared" si="4"/>
        <v>681.6579653</v>
      </c>
      <c r="G40" s="363">
        <v>0.0</v>
      </c>
      <c r="H40" s="364">
        <f t="shared" si="5"/>
        <v>1533.730422</v>
      </c>
      <c r="I40" s="363">
        <v>0.0</v>
      </c>
      <c r="J40" s="364">
        <f t="shared" ref="J40:K40" si="27">J39+B40+D40+F40+H40</f>
        <v>187455.9405</v>
      </c>
      <c r="K40" s="364">
        <f t="shared" si="27"/>
        <v>0</v>
      </c>
      <c r="L40" s="365">
        <f t="shared" si="7"/>
        <v>187455.9405</v>
      </c>
    </row>
    <row r="41" ht="12.75" customHeight="1">
      <c r="A41" s="36" t="s">
        <v>172</v>
      </c>
      <c r="B41" s="362">
        <f t="shared" si="2"/>
        <v>852.0724566</v>
      </c>
      <c r="C41" s="363">
        <v>0.0</v>
      </c>
      <c r="D41" s="364">
        <f t="shared" si="3"/>
        <v>5453.263722</v>
      </c>
      <c r="E41" s="363">
        <v>0.0</v>
      </c>
      <c r="F41" s="364">
        <f t="shared" si="4"/>
        <v>681.6579653</v>
      </c>
      <c r="G41" s="363">
        <v>0.0</v>
      </c>
      <c r="H41" s="364">
        <f t="shared" si="5"/>
        <v>1533.730422</v>
      </c>
      <c r="I41" s="363">
        <v>0.0</v>
      </c>
      <c r="J41" s="364">
        <f t="shared" ref="J41:K41" si="28">J40+B41+D41+F41+H41</f>
        <v>195976.665</v>
      </c>
      <c r="K41" s="364">
        <f t="shared" si="28"/>
        <v>0</v>
      </c>
      <c r="L41" s="365">
        <f t="shared" si="7"/>
        <v>195976.665</v>
      </c>
    </row>
    <row r="42" ht="12.75" customHeight="1">
      <c r="A42" s="36" t="s">
        <v>173</v>
      </c>
      <c r="B42" s="362">
        <f t="shared" si="2"/>
        <v>852.0724566</v>
      </c>
      <c r="C42" s="363">
        <v>0.0</v>
      </c>
      <c r="D42" s="364">
        <f t="shared" si="3"/>
        <v>5453.263722</v>
      </c>
      <c r="E42" s="363">
        <v>0.0</v>
      </c>
      <c r="F42" s="364">
        <f t="shared" si="4"/>
        <v>681.6579653</v>
      </c>
      <c r="G42" s="363">
        <v>0.0</v>
      </c>
      <c r="H42" s="364">
        <f t="shared" si="5"/>
        <v>1533.730422</v>
      </c>
      <c r="I42" s="363">
        <v>0.0</v>
      </c>
      <c r="J42" s="364">
        <f t="shared" ref="J42:K42" si="29">J41+B42+D42+F42+H42</f>
        <v>204497.3896</v>
      </c>
      <c r="K42" s="364">
        <f t="shared" si="29"/>
        <v>0</v>
      </c>
      <c r="L42" s="365">
        <f t="shared" si="7"/>
        <v>204497.3896</v>
      </c>
    </row>
    <row r="43" ht="12.75" customHeight="1">
      <c r="A43" s="36" t="s">
        <v>174</v>
      </c>
      <c r="B43" s="362">
        <f t="shared" si="2"/>
        <v>852.0724566</v>
      </c>
      <c r="C43" s="363">
        <v>0.0</v>
      </c>
      <c r="D43" s="364">
        <f t="shared" si="3"/>
        <v>5453.263722</v>
      </c>
      <c r="E43" s="363">
        <v>0.0</v>
      </c>
      <c r="F43" s="364">
        <f t="shared" si="4"/>
        <v>681.6579653</v>
      </c>
      <c r="G43" s="363">
        <v>0.0</v>
      </c>
      <c r="H43" s="364">
        <f t="shared" si="5"/>
        <v>1533.730422</v>
      </c>
      <c r="I43" s="363">
        <v>0.0</v>
      </c>
      <c r="J43" s="364">
        <f t="shared" ref="J43:K43" si="30">J42+B43+D43+F43+H43</f>
        <v>213018.1142</v>
      </c>
      <c r="K43" s="364">
        <f t="shared" si="30"/>
        <v>0</v>
      </c>
      <c r="L43" s="365">
        <f t="shared" si="7"/>
        <v>213018.1142</v>
      </c>
    </row>
    <row r="44" ht="12.75" customHeight="1">
      <c r="A44" s="36" t="s">
        <v>175</v>
      </c>
      <c r="B44" s="362">
        <f t="shared" si="2"/>
        <v>852.0724566</v>
      </c>
      <c r="C44" s="363">
        <v>0.0</v>
      </c>
      <c r="D44" s="364">
        <f t="shared" si="3"/>
        <v>5453.263722</v>
      </c>
      <c r="E44" s="363">
        <v>0.0</v>
      </c>
      <c r="F44" s="364">
        <f t="shared" si="4"/>
        <v>681.6579653</v>
      </c>
      <c r="G44" s="363">
        <v>0.0</v>
      </c>
      <c r="H44" s="364">
        <f t="shared" si="5"/>
        <v>1533.730422</v>
      </c>
      <c r="I44" s="363">
        <v>0.0</v>
      </c>
      <c r="J44" s="364">
        <f t="shared" ref="J44:K44" si="31">J43+B44+D44+F44+H44</f>
        <v>221538.8387</v>
      </c>
      <c r="K44" s="364">
        <f t="shared" si="31"/>
        <v>0</v>
      </c>
      <c r="L44" s="365">
        <f t="shared" si="7"/>
        <v>221538.8387</v>
      </c>
    </row>
    <row r="45" ht="12.75" customHeight="1">
      <c r="A45" s="36" t="s">
        <v>176</v>
      </c>
      <c r="B45" s="367">
        <f t="shared" si="2"/>
        <v>852.0724566</v>
      </c>
      <c r="C45" s="368">
        <v>0.0</v>
      </c>
      <c r="D45" s="369">
        <f t="shared" si="3"/>
        <v>5453.263722</v>
      </c>
      <c r="E45" s="368">
        <v>0.0</v>
      </c>
      <c r="F45" s="369">
        <f t="shared" si="4"/>
        <v>681.6579653</v>
      </c>
      <c r="G45" s="368">
        <v>0.0</v>
      </c>
      <c r="H45" s="369">
        <f t="shared" si="5"/>
        <v>1533.730422</v>
      </c>
      <c r="I45" s="368">
        <v>0.0</v>
      </c>
      <c r="J45" s="369">
        <f t="shared" ref="J45:K45" si="32">J44+B45+D45+F45+H45</f>
        <v>230059.5633</v>
      </c>
      <c r="K45" s="369">
        <f t="shared" si="32"/>
        <v>0</v>
      </c>
      <c r="L45" s="370">
        <f t="shared" si="7"/>
        <v>230059.5633</v>
      </c>
    </row>
    <row r="46" ht="12.75" customHeight="1"/>
    <row r="47" ht="12.75" customHeight="1"/>
    <row r="48" ht="12.75" customHeight="1">
      <c r="A48" s="371" t="s">
        <v>177</v>
      </c>
      <c r="B48" s="108"/>
      <c r="C48" s="372" t="s">
        <v>178</v>
      </c>
      <c r="D48" s="373" t="s">
        <v>179</v>
      </c>
      <c r="E48" s="373" t="s">
        <v>180</v>
      </c>
      <c r="F48" s="374" t="s">
        <v>181</v>
      </c>
    </row>
    <row r="49" ht="14.25" customHeight="1">
      <c r="A49" s="375"/>
      <c r="B49" s="376"/>
      <c r="C49" s="377"/>
      <c r="D49" s="377"/>
      <c r="E49" s="377"/>
      <c r="F49" s="378"/>
    </row>
    <row r="50" ht="14.25" customHeight="1">
      <c r="A50" s="379"/>
      <c r="B50" s="380"/>
      <c r="C50" s="381"/>
      <c r="D50" s="381"/>
      <c r="E50" s="381"/>
      <c r="F50" s="382"/>
    </row>
    <row r="51" ht="14.25" customHeight="1">
      <c r="A51" s="379"/>
      <c r="B51" s="380"/>
      <c r="C51" s="381"/>
      <c r="D51" s="381"/>
      <c r="E51" s="381"/>
      <c r="F51" s="382"/>
    </row>
    <row r="52" ht="14.25" customHeight="1">
      <c r="A52" s="379"/>
      <c r="B52" s="380"/>
      <c r="C52" s="381"/>
      <c r="D52" s="381"/>
      <c r="E52" s="381"/>
      <c r="F52" s="382"/>
    </row>
    <row r="53" ht="14.25" customHeight="1">
      <c r="A53" s="379"/>
      <c r="B53" s="380"/>
      <c r="C53" s="381"/>
      <c r="D53" s="381"/>
      <c r="E53" s="381"/>
      <c r="F53" s="382"/>
    </row>
    <row r="54" ht="14.25" customHeight="1">
      <c r="A54" s="379"/>
      <c r="B54" s="380"/>
      <c r="C54" s="381"/>
      <c r="D54" s="381"/>
      <c r="E54" s="381"/>
      <c r="F54" s="382"/>
    </row>
    <row r="55" ht="14.25" customHeight="1">
      <c r="A55" s="379"/>
      <c r="B55" s="380"/>
      <c r="C55" s="381"/>
      <c r="D55" s="381"/>
      <c r="E55" s="381"/>
      <c r="F55" s="382"/>
    </row>
    <row r="56" ht="14.25" customHeight="1">
      <c r="A56" s="379"/>
      <c r="B56" s="380"/>
      <c r="C56" s="381"/>
      <c r="D56" s="381"/>
      <c r="E56" s="381"/>
      <c r="F56" s="382"/>
    </row>
    <row r="57" ht="14.25" customHeight="1">
      <c r="A57" s="379"/>
      <c r="B57" s="380"/>
      <c r="C57" s="381"/>
      <c r="D57" s="381"/>
      <c r="E57" s="381"/>
      <c r="F57" s="382"/>
    </row>
    <row r="58" ht="14.25" customHeight="1">
      <c r="A58" s="379"/>
      <c r="B58" s="380"/>
      <c r="C58" s="381"/>
      <c r="D58" s="381"/>
      <c r="E58" s="381"/>
      <c r="F58" s="382"/>
    </row>
    <row r="59" ht="14.25" customHeight="1">
      <c r="A59" s="379"/>
      <c r="B59" s="380"/>
      <c r="C59" s="381"/>
      <c r="D59" s="381"/>
      <c r="E59" s="381"/>
      <c r="F59" s="382"/>
    </row>
    <row r="60" ht="14.25" customHeight="1">
      <c r="A60" s="379"/>
      <c r="B60" s="380"/>
      <c r="C60" s="381"/>
      <c r="D60" s="381"/>
      <c r="E60" s="381"/>
      <c r="F60" s="382"/>
    </row>
    <row r="61" ht="14.25" customHeight="1">
      <c r="A61" s="379"/>
      <c r="B61" s="380"/>
      <c r="C61" s="381"/>
      <c r="D61" s="381"/>
      <c r="E61" s="381"/>
      <c r="F61" s="382"/>
    </row>
    <row r="62" ht="14.25" customHeight="1">
      <c r="A62" s="379"/>
      <c r="B62" s="380"/>
      <c r="C62" s="381"/>
      <c r="D62" s="381"/>
      <c r="E62" s="381"/>
      <c r="F62" s="382"/>
    </row>
    <row r="63" ht="14.25" customHeight="1">
      <c r="A63" s="379"/>
      <c r="B63" s="380"/>
      <c r="C63" s="381"/>
      <c r="D63" s="381"/>
      <c r="E63" s="381"/>
      <c r="F63" s="382"/>
    </row>
    <row r="64" ht="14.25" customHeight="1">
      <c r="A64" s="379"/>
      <c r="B64" s="380"/>
      <c r="C64" s="381"/>
      <c r="D64" s="381"/>
      <c r="E64" s="381"/>
      <c r="F64" s="382"/>
    </row>
    <row r="65" ht="14.25" customHeight="1">
      <c r="A65" s="379"/>
      <c r="B65" s="380"/>
      <c r="C65" s="381"/>
      <c r="D65" s="381"/>
      <c r="E65" s="381"/>
      <c r="F65" s="382"/>
    </row>
    <row r="66" ht="14.25" customHeight="1">
      <c r="A66" s="379"/>
      <c r="B66" s="380"/>
      <c r="C66" s="381"/>
      <c r="D66" s="381"/>
      <c r="E66" s="381"/>
      <c r="F66" s="382"/>
    </row>
    <row r="67" ht="14.25" customHeight="1">
      <c r="A67" s="379"/>
      <c r="B67" s="380"/>
      <c r="C67" s="381"/>
      <c r="D67" s="381"/>
      <c r="E67" s="381"/>
      <c r="F67" s="382"/>
    </row>
    <row r="68" ht="14.25" customHeight="1">
      <c r="A68" s="379"/>
      <c r="B68" s="380"/>
      <c r="C68" s="381"/>
      <c r="D68" s="381"/>
      <c r="E68" s="381"/>
      <c r="F68" s="382"/>
    </row>
    <row r="69" ht="12.75" customHeight="1">
      <c r="A69" s="383"/>
      <c r="B69" s="384"/>
      <c r="C69" s="385"/>
      <c r="D69" s="385"/>
      <c r="E69" s="385"/>
      <c r="F69" s="386"/>
    </row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3">
    <mergeCell ref="J1:M1"/>
    <mergeCell ref="D2:E2"/>
    <mergeCell ref="D3:E3"/>
    <mergeCell ref="D4:E4"/>
    <mergeCell ref="D6:E6"/>
    <mergeCell ref="D7:E7"/>
    <mergeCell ref="D8:E8"/>
    <mergeCell ref="D10:E10"/>
    <mergeCell ref="D11:E11"/>
    <mergeCell ref="D12:E12"/>
    <mergeCell ref="D14:E14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65:B65"/>
    <mergeCell ref="A66:B66"/>
    <mergeCell ref="A67:B67"/>
    <mergeCell ref="A68:B68"/>
    <mergeCell ref="A69:B69"/>
    <mergeCell ref="A58:B58"/>
    <mergeCell ref="A59:B59"/>
    <mergeCell ref="A60:B60"/>
    <mergeCell ref="A61:B61"/>
    <mergeCell ref="A62:B62"/>
    <mergeCell ref="A63:B63"/>
    <mergeCell ref="A64:B64"/>
  </mergeCells>
  <conditionalFormatting sqref="K19:K45">
    <cfRule type="cellIs" dxfId="1" priority="1" operator="greaterThan">
      <formula>$B$3</formula>
    </cfRule>
  </conditionalFormatting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25"/>
    <col customWidth="1" min="2" max="2" width="20.13"/>
    <col customWidth="1" min="3" max="3" width="15.0"/>
    <col customWidth="1" min="4" max="4" width="15.63"/>
    <col customWidth="1" min="5" max="5" width="25.63"/>
    <col customWidth="1" min="6" max="6" width="18.25"/>
    <col customWidth="1" min="7" max="7" width="16.63"/>
    <col customWidth="1" min="8" max="8" width="23.75"/>
    <col customWidth="1" min="9" max="9" width="19.25"/>
    <col customWidth="1" min="10" max="10" width="20.13"/>
    <col customWidth="1" min="11" max="11" width="15.0"/>
    <col customWidth="1" min="12" max="12" width="15.63"/>
    <col customWidth="1" min="13" max="13" width="16.13"/>
    <col customWidth="1" min="14" max="14" width="18.25"/>
    <col customWidth="1" min="15" max="15" width="17.38"/>
    <col customWidth="1" min="16" max="26" width="8.63"/>
  </cols>
  <sheetData>
    <row r="1" ht="12.75" customHeight="1">
      <c r="A1" s="310" t="s">
        <v>189</v>
      </c>
      <c r="J1" s="389" t="s">
        <v>118</v>
      </c>
      <c r="K1" s="169"/>
      <c r="L1" s="169"/>
      <c r="M1" s="108"/>
    </row>
    <row r="2" ht="12.75" customHeight="1">
      <c r="D2" s="312" t="s">
        <v>119</v>
      </c>
      <c r="E2" s="167"/>
      <c r="F2" s="345">
        <f>'Input Data'!H12</f>
        <v>10000</v>
      </c>
      <c r="G2" s="346"/>
      <c r="H2" s="315" t="s">
        <v>187</v>
      </c>
      <c r="J2" s="316" t="s">
        <v>115</v>
      </c>
      <c r="K2" s="317" t="s">
        <v>87</v>
      </c>
      <c r="L2" s="317" t="s">
        <v>88</v>
      </c>
      <c r="M2" s="318" t="s">
        <v>86</v>
      </c>
    </row>
    <row r="3" ht="12.75" customHeight="1">
      <c r="A3" s="319" t="s">
        <v>121</v>
      </c>
      <c r="B3" s="320">
        <f>'Sales Goals'!I12</f>
        <v>193952.4904</v>
      </c>
      <c r="D3" s="321" t="s">
        <v>122</v>
      </c>
      <c r="E3" s="172"/>
      <c r="F3" s="348">
        <f>B3*B9</f>
        <v>124129.5938</v>
      </c>
      <c r="G3" s="349" t="s">
        <v>123</v>
      </c>
      <c r="H3" s="324">
        <f>'Input Data'!H13</f>
        <v>0.5</v>
      </c>
      <c r="I3" s="3"/>
      <c r="J3" s="325"/>
      <c r="K3" s="326"/>
      <c r="L3" s="326"/>
      <c r="M3" s="327"/>
    </row>
    <row r="4" ht="12.75" customHeight="1">
      <c r="B4" s="36"/>
      <c r="D4" s="328" t="s">
        <v>124</v>
      </c>
      <c r="E4" s="108"/>
      <c r="F4" s="387">
        <f>F3/F2</f>
        <v>12.41295938</v>
      </c>
      <c r="G4" s="330"/>
      <c r="H4" s="331">
        <f>F4/H3</f>
        <v>24.82591877</v>
      </c>
      <c r="I4" s="3"/>
      <c r="J4" s="325">
        <f>H4/'Input Data'!G30</f>
        <v>0.4513803413</v>
      </c>
      <c r="K4" s="326"/>
      <c r="L4" s="326"/>
      <c r="M4" s="327">
        <f>F4/'Input Data'!G34</f>
        <v>0.5642254266</v>
      </c>
    </row>
    <row r="5" ht="12.75" customHeight="1">
      <c r="A5" s="332" t="s">
        <v>125</v>
      </c>
      <c r="B5" s="320">
        <f>((B3/31)*7)/'Break-even'!C25</f>
        <v>8759.144727</v>
      </c>
      <c r="F5" s="36"/>
      <c r="G5" s="36"/>
      <c r="H5" s="36"/>
      <c r="J5" s="325"/>
      <c r="K5" s="326"/>
      <c r="L5" s="326"/>
      <c r="M5" s="327"/>
    </row>
    <row r="6" ht="12.75" customHeight="1">
      <c r="B6" s="36"/>
      <c r="D6" s="312" t="s">
        <v>126</v>
      </c>
      <c r="E6" s="167"/>
      <c r="F6" s="345">
        <f>'Input Data'!H16</f>
        <v>450</v>
      </c>
      <c r="G6" s="346"/>
      <c r="H6" s="333" t="s">
        <v>127</v>
      </c>
      <c r="J6" s="334"/>
      <c r="K6" s="326"/>
      <c r="L6" s="326"/>
      <c r="M6" s="327"/>
    </row>
    <row r="7" ht="12.75" customHeight="1">
      <c r="A7" s="335" t="s">
        <v>35</v>
      </c>
      <c r="B7" s="320">
        <f>Budget!C36</f>
        <v>4885.054388</v>
      </c>
      <c r="D7" s="321" t="s">
        <v>128</v>
      </c>
      <c r="E7" s="172"/>
      <c r="F7" s="348">
        <f>B3*B11</f>
        <v>25213.82375</v>
      </c>
      <c r="G7" s="349" t="s">
        <v>123</v>
      </c>
      <c r="H7" s="324">
        <f>'Input Data'!H17</f>
        <v>1</v>
      </c>
      <c r="J7" s="325"/>
      <c r="K7" s="336"/>
      <c r="L7" s="326"/>
      <c r="M7" s="327"/>
    </row>
    <row r="8" ht="12.75" customHeight="1">
      <c r="B8" s="36"/>
      <c r="D8" s="328" t="s">
        <v>129</v>
      </c>
      <c r="E8" s="108"/>
      <c r="F8" s="351">
        <f>F7/F6</f>
        <v>56.03071945</v>
      </c>
      <c r="G8" s="330"/>
      <c r="H8" s="338">
        <f> F8/H7</f>
        <v>56.03071945</v>
      </c>
      <c r="J8" s="325"/>
      <c r="K8" s="326">
        <f>H8/'Input Data'!G31</f>
        <v>0.8489502946</v>
      </c>
      <c r="L8" s="326"/>
      <c r="M8" s="327"/>
    </row>
    <row r="9" ht="12.75" customHeight="1">
      <c r="A9" s="339" t="s">
        <v>130</v>
      </c>
      <c r="B9" s="340">
        <f>'Input Data'!H6</f>
        <v>0.64</v>
      </c>
      <c r="F9" s="36"/>
      <c r="G9" s="36"/>
      <c r="H9" s="36"/>
      <c r="J9" s="325"/>
      <c r="K9" s="326"/>
      <c r="L9" s="326"/>
      <c r="M9" s="327"/>
    </row>
    <row r="10" ht="12.75" customHeight="1">
      <c r="B10" s="36"/>
      <c r="D10" s="312" t="s">
        <v>131</v>
      </c>
      <c r="E10" s="167"/>
      <c r="F10" s="345">
        <f>'Input Data'!H20</f>
        <v>200</v>
      </c>
      <c r="G10" s="346"/>
      <c r="H10" s="333" t="s">
        <v>127</v>
      </c>
      <c r="J10" s="325"/>
      <c r="K10" s="326"/>
      <c r="L10" s="326"/>
      <c r="M10" s="327"/>
    </row>
    <row r="11" ht="12.75" customHeight="1">
      <c r="A11" s="339" t="s">
        <v>132</v>
      </c>
      <c r="B11" s="340">
        <f>'Input Data'!H7</f>
        <v>0.13</v>
      </c>
      <c r="D11" s="321" t="s">
        <v>133</v>
      </c>
      <c r="E11" s="172"/>
      <c r="F11" s="348">
        <f>B3*B13</f>
        <v>9697.624519</v>
      </c>
      <c r="G11" s="349" t="s">
        <v>123</v>
      </c>
      <c r="H11" s="324">
        <f>'Input Data'!H21</f>
        <v>1</v>
      </c>
      <c r="J11" s="325"/>
      <c r="K11" s="326"/>
      <c r="L11" s="326"/>
      <c r="M11" s="327"/>
    </row>
    <row r="12" ht="12.75" customHeight="1">
      <c r="A12" s="278"/>
      <c r="B12" s="342"/>
      <c r="D12" s="328" t="s">
        <v>134</v>
      </c>
      <c r="E12" s="169"/>
      <c r="F12" s="351">
        <f>F11/F10</f>
        <v>48.4881226</v>
      </c>
      <c r="G12" s="330"/>
      <c r="H12" s="338">
        <f> F12/H11</f>
        <v>48.4881226</v>
      </c>
      <c r="J12" s="325"/>
      <c r="K12" s="326">
        <f>H12/'Input Data'!G32</f>
        <v>0.5185895465</v>
      </c>
      <c r="L12" s="326"/>
      <c r="M12" s="327"/>
    </row>
    <row r="13" ht="12.75" customHeight="1">
      <c r="A13" s="328" t="s">
        <v>135</v>
      </c>
      <c r="B13" s="340">
        <f>'Input Data'!H8</f>
        <v>0.05</v>
      </c>
      <c r="J13" s="325"/>
      <c r="K13" s="326"/>
      <c r="L13" s="326"/>
      <c r="M13" s="327"/>
    </row>
    <row r="14" ht="12.75" customHeight="1">
      <c r="D14" s="312" t="s">
        <v>136</v>
      </c>
      <c r="E14" s="79"/>
      <c r="F14" s="345">
        <f>'Input Data'!H24</f>
        <v>750</v>
      </c>
      <c r="G14" s="346"/>
      <c r="H14" s="333" t="s">
        <v>127</v>
      </c>
      <c r="J14" s="325"/>
      <c r="K14" s="326"/>
      <c r="L14" s="326"/>
      <c r="M14" s="327"/>
    </row>
    <row r="15" ht="12.75" customHeight="1">
      <c r="A15" s="328" t="s">
        <v>137</v>
      </c>
      <c r="B15" s="324">
        <f>'Input Data'!H9</f>
        <v>0.18</v>
      </c>
      <c r="D15" s="347" t="s">
        <v>128</v>
      </c>
      <c r="E15" s="165"/>
      <c r="F15" s="348">
        <f>B3*B15</f>
        <v>34911.44827</v>
      </c>
      <c r="G15" s="349" t="s">
        <v>123</v>
      </c>
      <c r="H15" s="324">
        <f>'Input Data'!H25</f>
        <v>1</v>
      </c>
      <c r="J15" s="325"/>
      <c r="K15" s="326"/>
      <c r="L15" s="326"/>
      <c r="M15" s="327"/>
    </row>
    <row r="16" ht="12.75" customHeight="1">
      <c r="D16" s="328" t="s">
        <v>138</v>
      </c>
      <c r="E16" s="350"/>
      <c r="F16" s="351">
        <f>F15/F14</f>
        <v>46.54859769</v>
      </c>
      <c r="G16" s="330"/>
      <c r="H16" s="338">
        <f> F16/H15</f>
        <v>46.54859769</v>
      </c>
      <c r="J16" s="352"/>
      <c r="K16" s="388"/>
      <c r="L16" s="353" t="str">
        <f>H16/'Input Data'!G33</f>
        <v>#DIV/0!</v>
      </c>
      <c r="M16" s="354"/>
    </row>
    <row r="17" ht="12.75" customHeight="1"/>
    <row r="18" ht="12.75" customHeight="1">
      <c r="B18" s="355" t="s">
        <v>139</v>
      </c>
      <c r="C18" s="356" t="s">
        <v>140</v>
      </c>
      <c r="D18" s="356" t="s">
        <v>141</v>
      </c>
      <c r="E18" s="357" t="s">
        <v>184</v>
      </c>
      <c r="F18" s="356" t="s">
        <v>143</v>
      </c>
      <c r="G18" s="356" t="s">
        <v>185</v>
      </c>
      <c r="H18" s="356" t="s">
        <v>145</v>
      </c>
      <c r="I18" s="356" t="s">
        <v>146</v>
      </c>
      <c r="J18" s="356" t="s">
        <v>147</v>
      </c>
      <c r="K18" s="356" t="s">
        <v>148</v>
      </c>
      <c r="L18" s="356" t="s">
        <v>149</v>
      </c>
    </row>
    <row r="19" ht="12.75" customHeight="1">
      <c r="A19" s="36" t="s">
        <v>150</v>
      </c>
      <c r="B19" s="358">
        <f t="shared" ref="B19:B45" si="2">$B$5*$B$11</f>
        <v>1138.688815</v>
      </c>
      <c r="C19" s="305">
        <v>0.0</v>
      </c>
      <c r="D19" s="359">
        <f t="shared" ref="D19:D45" si="3">$B$5*$B$9</f>
        <v>5605.852625</v>
      </c>
      <c r="E19" s="305">
        <v>0.0</v>
      </c>
      <c r="F19" s="359">
        <f t="shared" ref="F19:F45" si="4">$B$5*$B$13</f>
        <v>437.9572364</v>
      </c>
      <c r="G19" s="305">
        <v>0.0</v>
      </c>
      <c r="H19" s="359">
        <f t="shared" ref="H19:H45" si="5">$B$5*$B$15</f>
        <v>1576.646051</v>
      </c>
      <c r="I19" s="305">
        <v>0.0</v>
      </c>
      <c r="J19" s="359">
        <f t="shared" ref="J19:K19" si="1">B19+D19+F19+H19</f>
        <v>8759.144727</v>
      </c>
      <c r="K19" s="360">
        <f t="shared" si="1"/>
        <v>0</v>
      </c>
      <c r="L19" s="361">
        <f t="shared" ref="L19:L45" si="7">J19-K19</f>
        <v>8759.144727</v>
      </c>
    </row>
    <row r="20" ht="12.75" customHeight="1">
      <c r="A20" s="36" t="s">
        <v>151</v>
      </c>
      <c r="B20" s="362">
        <f t="shared" si="2"/>
        <v>1138.688815</v>
      </c>
      <c r="C20" s="363">
        <v>0.0</v>
      </c>
      <c r="D20" s="364">
        <f t="shared" si="3"/>
        <v>5605.852625</v>
      </c>
      <c r="E20" s="363">
        <v>0.0</v>
      </c>
      <c r="F20" s="364">
        <f t="shared" si="4"/>
        <v>437.9572364</v>
      </c>
      <c r="G20" s="363">
        <v>0.0</v>
      </c>
      <c r="H20" s="364">
        <f t="shared" si="5"/>
        <v>1576.646051</v>
      </c>
      <c r="I20" s="363">
        <v>0.0</v>
      </c>
      <c r="J20" s="364">
        <f t="shared" ref="J20:K20" si="6">J19+B20+D20+F20+H20</f>
        <v>17518.28945</v>
      </c>
      <c r="K20" s="364">
        <f t="shared" si="6"/>
        <v>0</v>
      </c>
      <c r="L20" s="365">
        <f t="shared" si="7"/>
        <v>17518.28945</v>
      </c>
    </row>
    <row r="21" ht="12.75" customHeight="1">
      <c r="A21" s="36" t="s">
        <v>152</v>
      </c>
      <c r="B21" s="362">
        <f t="shared" si="2"/>
        <v>1138.688815</v>
      </c>
      <c r="C21" s="363">
        <v>0.0</v>
      </c>
      <c r="D21" s="364">
        <f t="shared" si="3"/>
        <v>5605.852625</v>
      </c>
      <c r="E21" s="363">
        <v>0.0</v>
      </c>
      <c r="F21" s="364">
        <f t="shared" si="4"/>
        <v>437.9572364</v>
      </c>
      <c r="G21" s="363">
        <v>0.0</v>
      </c>
      <c r="H21" s="364">
        <f t="shared" si="5"/>
        <v>1576.646051</v>
      </c>
      <c r="I21" s="363">
        <v>0.0</v>
      </c>
      <c r="J21" s="364">
        <f t="shared" ref="J21:K21" si="8">J20+B21+D21+F21+H21</f>
        <v>26277.43418</v>
      </c>
      <c r="K21" s="364">
        <f t="shared" si="8"/>
        <v>0</v>
      </c>
      <c r="L21" s="365">
        <f t="shared" si="7"/>
        <v>26277.43418</v>
      </c>
    </row>
    <row r="22" ht="12.75" customHeight="1">
      <c r="A22" s="36" t="s">
        <v>153</v>
      </c>
      <c r="B22" s="362">
        <f t="shared" si="2"/>
        <v>1138.688815</v>
      </c>
      <c r="C22" s="363">
        <v>0.0</v>
      </c>
      <c r="D22" s="364">
        <f t="shared" si="3"/>
        <v>5605.852625</v>
      </c>
      <c r="E22" s="363">
        <v>0.0</v>
      </c>
      <c r="F22" s="364">
        <f t="shared" si="4"/>
        <v>437.9572364</v>
      </c>
      <c r="G22" s="363">
        <v>0.0</v>
      </c>
      <c r="H22" s="364">
        <f t="shared" si="5"/>
        <v>1576.646051</v>
      </c>
      <c r="I22" s="363">
        <v>0.0</v>
      </c>
      <c r="J22" s="364">
        <f t="shared" ref="J22:K22" si="9">J21+B22+D22+F22+H22</f>
        <v>35036.57891</v>
      </c>
      <c r="K22" s="364">
        <f t="shared" si="9"/>
        <v>0</v>
      </c>
      <c r="L22" s="365">
        <f t="shared" si="7"/>
        <v>35036.57891</v>
      </c>
    </row>
    <row r="23" ht="12.75" customHeight="1">
      <c r="A23" s="36" t="s">
        <v>154</v>
      </c>
      <c r="B23" s="362">
        <f t="shared" si="2"/>
        <v>1138.688815</v>
      </c>
      <c r="C23" s="363">
        <v>0.0</v>
      </c>
      <c r="D23" s="364">
        <f t="shared" si="3"/>
        <v>5605.852625</v>
      </c>
      <c r="E23" s="363">
        <v>0.0</v>
      </c>
      <c r="F23" s="364">
        <f t="shared" si="4"/>
        <v>437.9572364</v>
      </c>
      <c r="G23" s="363">
        <v>0.0</v>
      </c>
      <c r="H23" s="364">
        <f t="shared" si="5"/>
        <v>1576.646051</v>
      </c>
      <c r="I23" s="363">
        <v>0.0</v>
      </c>
      <c r="J23" s="364">
        <f t="shared" ref="J23:K23" si="10">J22+B23+D23+F23+H23</f>
        <v>43795.72364</v>
      </c>
      <c r="K23" s="364">
        <f t="shared" si="10"/>
        <v>0</v>
      </c>
      <c r="L23" s="365">
        <f t="shared" si="7"/>
        <v>43795.72364</v>
      </c>
    </row>
    <row r="24" ht="12.75" customHeight="1">
      <c r="A24" s="36" t="s">
        <v>155</v>
      </c>
      <c r="B24" s="362">
        <f t="shared" si="2"/>
        <v>1138.688815</v>
      </c>
      <c r="C24" s="363">
        <v>0.0</v>
      </c>
      <c r="D24" s="364">
        <f t="shared" si="3"/>
        <v>5605.852625</v>
      </c>
      <c r="E24" s="363">
        <v>0.0</v>
      </c>
      <c r="F24" s="364">
        <f t="shared" si="4"/>
        <v>437.9572364</v>
      </c>
      <c r="G24" s="363">
        <v>0.0</v>
      </c>
      <c r="H24" s="364">
        <f t="shared" si="5"/>
        <v>1576.646051</v>
      </c>
      <c r="I24" s="363">
        <v>0.0</v>
      </c>
      <c r="J24" s="364">
        <f t="shared" ref="J24:K24" si="11">J23+B24+D24+F24+H24</f>
        <v>52554.86836</v>
      </c>
      <c r="K24" s="364">
        <f t="shared" si="11"/>
        <v>0</v>
      </c>
      <c r="L24" s="365">
        <f t="shared" si="7"/>
        <v>52554.86836</v>
      </c>
    </row>
    <row r="25" ht="12.75" customHeight="1">
      <c r="A25" s="36" t="s">
        <v>156</v>
      </c>
      <c r="B25" s="362">
        <f t="shared" si="2"/>
        <v>1138.688815</v>
      </c>
      <c r="C25" s="363">
        <v>0.0</v>
      </c>
      <c r="D25" s="364">
        <f t="shared" si="3"/>
        <v>5605.852625</v>
      </c>
      <c r="E25" s="363">
        <v>0.0</v>
      </c>
      <c r="F25" s="364">
        <f t="shared" si="4"/>
        <v>437.9572364</v>
      </c>
      <c r="G25" s="363">
        <v>0.0</v>
      </c>
      <c r="H25" s="364">
        <f t="shared" si="5"/>
        <v>1576.646051</v>
      </c>
      <c r="I25" s="363">
        <v>0.0</v>
      </c>
      <c r="J25" s="364">
        <f t="shared" ref="J25:K25" si="12">J24+B25+D25+F25+H25</f>
        <v>61314.01309</v>
      </c>
      <c r="K25" s="364">
        <f t="shared" si="12"/>
        <v>0</v>
      </c>
      <c r="L25" s="365">
        <f t="shared" si="7"/>
        <v>61314.01309</v>
      </c>
    </row>
    <row r="26" ht="12.75" customHeight="1">
      <c r="A26" s="36" t="s">
        <v>157</v>
      </c>
      <c r="B26" s="362">
        <f t="shared" si="2"/>
        <v>1138.688815</v>
      </c>
      <c r="C26" s="363">
        <v>0.0</v>
      </c>
      <c r="D26" s="364">
        <f t="shared" si="3"/>
        <v>5605.852625</v>
      </c>
      <c r="E26" s="363">
        <v>0.0</v>
      </c>
      <c r="F26" s="364">
        <f t="shared" si="4"/>
        <v>437.9572364</v>
      </c>
      <c r="G26" s="363">
        <v>0.0</v>
      </c>
      <c r="H26" s="364">
        <f t="shared" si="5"/>
        <v>1576.646051</v>
      </c>
      <c r="I26" s="363">
        <v>0.0</v>
      </c>
      <c r="J26" s="364">
        <f t="shared" ref="J26:K26" si="13">J25+B26+D26+F26+H26</f>
        <v>70073.15782</v>
      </c>
      <c r="K26" s="364">
        <f t="shared" si="13"/>
        <v>0</v>
      </c>
      <c r="L26" s="365">
        <f t="shared" si="7"/>
        <v>70073.15782</v>
      </c>
    </row>
    <row r="27" ht="12.75" customHeight="1">
      <c r="A27" s="36" t="s">
        <v>158</v>
      </c>
      <c r="B27" s="362">
        <f t="shared" si="2"/>
        <v>1138.688815</v>
      </c>
      <c r="C27" s="363">
        <v>0.0</v>
      </c>
      <c r="D27" s="364">
        <f t="shared" si="3"/>
        <v>5605.852625</v>
      </c>
      <c r="E27" s="363">
        <v>0.0</v>
      </c>
      <c r="F27" s="364">
        <f t="shared" si="4"/>
        <v>437.9572364</v>
      </c>
      <c r="G27" s="363">
        <v>0.0</v>
      </c>
      <c r="H27" s="364">
        <f t="shared" si="5"/>
        <v>1576.646051</v>
      </c>
      <c r="I27" s="363">
        <v>0.0</v>
      </c>
      <c r="J27" s="364">
        <f t="shared" ref="J27:K27" si="14">J26+B27+D27+F27+H27</f>
        <v>78832.30255</v>
      </c>
      <c r="K27" s="364">
        <f t="shared" si="14"/>
        <v>0</v>
      </c>
      <c r="L27" s="365">
        <f t="shared" si="7"/>
        <v>78832.30255</v>
      </c>
    </row>
    <row r="28" ht="12.75" customHeight="1">
      <c r="A28" s="36" t="s">
        <v>159</v>
      </c>
      <c r="B28" s="362">
        <f t="shared" si="2"/>
        <v>1138.688815</v>
      </c>
      <c r="C28" s="363">
        <v>0.0</v>
      </c>
      <c r="D28" s="364">
        <f t="shared" si="3"/>
        <v>5605.852625</v>
      </c>
      <c r="E28" s="363">
        <v>0.0</v>
      </c>
      <c r="F28" s="364">
        <f t="shared" si="4"/>
        <v>437.9572364</v>
      </c>
      <c r="G28" s="363">
        <v>0.0</v>
      </c>
      <c r="H28" s="364">
        <f t="shared" si="5"/>
        <v>1576.646051</v>
      </c>
      <c r="I28" s="363">
        <v>0.0</v>
      </c>
      <c r="J28" s="364">
        <f t="shared" ref="J28:K28" si="15">J27+B28+D28+F28+H28</f>
        <v>87591.44727</v>
      </c>
      <c r="K28" s="364">
        <f t="shared" si="15"/>
        <v>0</v>
      </c>
      <c r="L28" s="365">
        <f t="shared" si="7"/>
        <v>87591.44727</v>
      </c>
    </row>
    <row r="29" ht="12.75" customHeight="1">
      <c r="A29" s="36" t="s">
        <v>160</v>
      </c>
      <c r="B29" s="362">
        <f t="shared" si="2"/>
        <v>1138.688815</v>
      </c>
      <c r="C29" s="363">
        <v>0.0</v>
      </c>
      <c r="D29" s="364">
        <f t="shared" si="3"/>
        <v>5605.852625</v>
      </c>
      <c r="E29" s="363">
        <v>0.0</v>
      </c>
      <c r="F29" s="364">
        <f t="shared" si="4"/>
        <v>437.9572364</v>
      </c>
      <c r="G29" s="363">
        <v>0.0</v>
      </c>
      <c r="H29" s="364">
        <f t="shared" si="5"/>
        <v>1576.646051</v>
      </c>
      <c r="I29" s="363">
        <v>0.0</v>
      </c>
      <c r="J29" s="364">
        <f t="shared" ref="J29:K29" si="16">J28+B29+D29+F29+H29</f>
        <v>96350.592</v>
      </c>
      <c r="K29" s="364">
        <f t="shared" si="16"/>
        <v>0</v>
      </c>
      <c r="L29" s="365">
        <f t="shared" si="7"/>
        <v>96350.592</v>
      </c>
    </row>
    <row r="30" ht="12.75" customHeight="1">
      <c r="A30" s="36" t="s">
        <v>161</v>
      </c>
      <c r="B30" s="362">
        <f t="shared" si="2"/>
        <v>1138.688815</v>
      </c>
      <c r="C30" s="363">
        <v>0.0</v>
      </c>
      <c r="D30" s="364">
        <f t="shared" si="3"/>
        <v>5605.852625</v>
      </c>
      <c r="E30" s="363">
        <v>0.0</v>
      </c>
      <c r="F30" s="364">
        <f t="shared" si="4"/>
        <v>437.9572364</v>
      </c>
      <c r="G30" s="363">
        <v>0.0</v>
      </c>
      <c r="H30" s="364">
        <f t="shared" si="5"/>
        <v>1576.646051</v>
      </c>
      <c r="I30" s="363">
        <v>0.0</v>
      </c>
      <c r="J30" s="364">
        <f t="shared" ref="J30:K30" si="17">J29+B30+D30+F30+H30</f>
        <v>105109.7367</v>
      </c>
      <c r="K30" s="364">
        <f t="shared" si="17"/>
        <v>0</v>
      </c>
      <c r="L30" s="365">
        <f t="shared" si="7"/>
        <v>105109.7367</v>
      </c>
    </row>
    <row r="31" ht="12.75" customHeight="1">
      <c r="A31" s="36" t="s">
        <v>162</v>
      </c>
      <c r="B31" s="362">
        <f t="shared" si="2"/>
        <v>1138.688815</v>
      </c>
      <c r="C31" s="363">
        <v>0.0</v>
      </c>
      <c r="D31" s="364">
        <f t="shared" si="3"/>
        <v>5605.852625</v>
      </c>
      <c r="E31" s="363">
        <v>0.0</v>
      </c>
      <c r="F31" s="364">
        <f t="shared" si="4"/>
        <v>437.9572364</v>
      </c>
      <c r="G31" s="363">
        <v>0.0</v>
      </c>
      <c r="H31" s="364">
        <f t="shared" si="5"/>
        <v>1576.646051</v>
      </c>
      <c r="I31" s="363">
        <v>0.0</v>
      </c>
      <c r="J31" s="364">
        <f t="shared" ref="J31:K31" si="18">J30+B31+D31+F31+H31</f>
        <v>113868.8815</v>
      </c>
      <c r="K31" s="364">
        <f t="shared" si="18"/>
        <v>0</v>
      </c>
      <c r="L31" s="365">
        <f t="shared" si="7"/>
        <v>113868.8815</v>
      </c>
    </row>
    <row r="32" ht="12.75" customHeight="1">
      <c r="A32" s="36" t="s">
        <v>163</v>
      </c>
      <c r="B32" s="362">
        <f t="shared" si="2"/>
        <v>1138.688815</v>
      </c>
      <c r="C32" s="363">
        <v>0.0</v>
      </c>
      <c r="D32" s="364">
        <f t="shared" si="3"/>
        <v>5605.852625</v>
      </c>
      <c r="E32" s="363">
        <v>0.0</v>
      </c>
      <c r="F32" s="364">
        <f t="shared" si="4"/>
        <v>437.9572364</v>
      </c>
      <c r="G32" s="363">
        <v>0.0</v>
      </c>
      <c r="H32" s="364">
        <f t="shared" si="5"/>
        <v>1576.646051</v>
      </c>
      <c r="I32" s="363">
        <v>0.0</v>
      </c>
      <c r="J32" s="364">
        <f t="shared" ref="J32:K32" si="19">J31+B32+D32+F32+H32</f>
        <v>122628.0262</v>
      </c>
      <c r="K32" s="364">
        <f t="shared" si="19"/>
        <v>0</v>
      </c>
      <c r="L32" s="365">
        <f t="shared" si="7"/>
        <v>122628.0262</v>
      </c>
    </row>
    <row r="33" ht="12.75" customHeight="1">
      <c r="A33" s="36" t="s">
        <v>164</v>
      </c>
      <c r="B33" s="362">
        <f t="shared" si="2"/>
        <v>1138.688815</v>
      </c>
      <c r="C33" s="363">
        <v>0.0</v>
      </c>
      <c r="D33" s="364">
        <f t="shared" si="3"/>
        <v>5605.852625</v>
      </c>
      <c r="E33" s="363">
        <v>0.0</v>
      </c>
      <c r="F33" s="364">
        <f t="shared" si="4"/>
        <v>437.9572364</v>
      </c>
      <c r="G33" s="363">
        <v>0.0</v>
      </c>
      <c r="H33" s="364">
        <f t="shared" si="5"/>
        <v>1576.646051</v>
      </c>
      <c r="I33" s="363">
        <v>0.0</v>
      </c>
      <c r="J33" s="364">
        <f t="shared" ref="J33:K33" si="20">J32+B33+D33+F33+H33</f>
        <v>131387.1709</v>
      </c>
      <c r="K33" s="364">
        <f t="shared" si="20"/>
        <v>0</v>
      </c>
      <c r="L33" s="365">
        <f t="shared" si="7"/>
        <v>131387.1709</v>
      </c>
    </row>
    <row r="34" ht="12.75" customHeight="1">
      <c r="A34" s="36" t="s">
        <v>165</v>
      </c>
      <c r="B34" s="362">
        <f t="shared" si="2"/>
        <v>1138.688815</v>
      </c>
      <c r="C34" s="363">
        <v>0.0</v>
      </c>
      <c r="D34" s="364">
        <f t="shared" si="3"/>
        <v>5605.852625</v>
      </c>
      <c r="E34" s="363">
        <v>0.0</v>
      </c>
      <c r="F34" s="364">
        <f t="shared" si="4"/>
        <v>437.9572364</v>
      </c>
      <c r="G34" s="363">
        <v>0.0</v>
      </c>
      <c r="H34" s="364">
        <f t="shared" si="5"/>
        <v>1576.646051</v>
      </c>
      <c r="I34" s="363">
        <v>0.0</v>
      </c>
      <c r="J34" s="364">
        <f t="shared" ref="J34:K34" si="21">J33+B34+D34+F34+H34</f>
        <v>140146.3156</v>
      </c>
      <c r="K34" s="364">
        <f t="shared" si="21"/>
        <v>0</v>
      </c>
      <c r="L34" s="365">
        <f t="shared" si="7"/>
        <v>140146.3156</v>
      </c>
    </row>
    <row r="35" ht="12.75" customHeight="1">
      <c r="A35" s="36" t="s">
        <v>166</v>
      </c>
      <c r="B35" s="362">
        <f t="shared" si="2"/>
        <v>1138.688815</v>
      </c>
      <c r="C35" s="363">
        <v>0.0</v>
      </c>
      <c r="D35" s="364">
        <f t="shared" si="3"/>
        <v>5605.852625</v>
      </c>
      <c r="E35" s="363">
        <v>0.0</v>
      </c>
      <c r="F35" s="364">
        <f t="shared" si="4"/>
        <v>437.9572364</v>
      </c>
      <c r="G35" s="363">
        <v>0.0</v>
      </c>
      <c r="H35" s="364">
        <f t="shared" si="5"/>
        <v>1576.646051</v>
      </c>
      <c r="I35" s="363">
        <v>0.0</v>
      </c>
      <c r="J35" s="364">
        <f t="shared" ref="J35:K35" si="22">J34+B35+D35+F35+H35</f>
        <v>148905.4604</v>
      </c>
      <c r="K35" s="364">
        <f t="shared" si="22"/>
        <v>0</v>
      </c>
      <c r="L35" s="365">
        <f t="shared" si="7"/>
        <v>148905.4604</v>
      </c>
    </row>
    <row r="36" ht="12.75" customHeight="1">
      <c r="A36" s="36" t="s">
        <v>167</v>
      </c>
      <c r="B36" s="362">
        <f t="shared" si="2"/>
        <v>1138.688815</v>
      </c>
      <c r="C36" s="363">
        <v>0.0</v>
      </c>
      <c r="D36" s="364">
        <f t="shared" si="3"/>
        <v>5605.852625</v>
      </c>
      <c r="E36" s="363">
        <v>0.0</v>
      </c>
      <c r="F36" s="364">
        <f t="shared" si="4"/>
        <v>437.9572364</v>
      </c>
      <c r="G36" s="363">
        <v>0.0</v>
      </c>
      <c r="H36" s="364">
        <f t="shared" si="5"/>
        <v>1576.646051</v>
      </c>
      <c r="I36" s="363">
        <v>0.0</v>
      </c>
      <c r="J36" s="364">
        <f t="shared" ref="J36:K36" si="23">J35+B36+D36+F36+H36</f>
        <v>157664.6051</v>
      </c>
      <c r="K36" s="364">
        <f t="shared" si="23"/>
        <v>0</v>
      </c>
      <c r="L36" s="365">
        <f t="shared" si="7"/>
        <v>157664.6051</v>
      </c>
    </row>
    <row r="37" ht="12.75" customHeight="1">
      <c r="A37" s="36" t="s">
        <v>168</v>
      </c>
      <c r="B37" s="362">
        <f t="shared" si="2"/>
        <v>1138.688815</v>
      </c>
      <c r="C37" s="363">
        <v>0.0</v>
      </c>
      <c r="D37" s="364">
        <f t="shared" si="3"/>
        <v>5605.852625</v>
      </c>
      <c r="E37" s="363">
        <v>0.0</v>
      </c>
      <c r="F37" s="364">
        <f t="shared" si="4"/>
        <v>437.9572364</v>
      </c>
      <c r="G37" s="363">
        <v>0.0</v>
      </c>
      <c r="H37" s="364">
        <f t="shared" si="5"/>
        <v>1576.646051</v>
      </c>
      <c r="I37" s="363">
        <v>0.0</v>
      </c>
      <c r="J37" s="364">
        <f t="shared" ref="J37:K37" si="24">J36+B37+D37+F37+H37</f>
        <v>166423.7498</v>
      </c>
      <c r="K37" s="364">
        <f t="shared" si="24"/>
        <v>0</v>
      </c>
      <c r="L37" s="365">
        <f t="shared" si="7"/>
        <v>166423.7498</v>
      </c>
    </row>
    <row r="38" ht="12.75" customHeight="1">
      <c r="A38" s="36" t="s">
        <v>169</v>
      </c>
      <c r="B38" s="362">
        <f t="shared" si="2"/>
        <v>1138.688815</v>
      </c>
      <c r="C38" s="363">
        <v>0.0</v>
      </c>
      <c r="D38" s="364">
        <f t="shared" si="3"/>
        <v>5605.852625</v>
      </c>
      <c r="E38" s="363">
        <v>0.0</v>
      </c>
      <c r="F38" s="364">
        <f t="shared" si="4"/>
        <v>437.9572364</v>
      </c>
      <c r="G38" s="363">
        <v>0.0</v>
      </c>
      <c r="H38" s="364">
        <f t="shared" si="5"/>
        <v>1576.646051</v>
      </c>
      <c r="I38" s="363">
        <v>0.0</v>
      </c>
      <c r="J38" s="364">
        <f t="shared" ref="J38:K38" si="25">J37+B38+D38+F38+H38</f>
        <v>175182.8945</v>
      </c>
      <c r="K38" s="364">
        <f t="shared" si="25"/>
        <v>0</v>
      </c>
      <c r="L38" s="365">
        <f t="shared" si="7"/>
        <v>175182.8945</v>
      </c>
    </row>
    <row r="39" ht="12.75" customHeight="1">
      <c r="A39" s="36" t="s">
        <v>170</v>
      </c>
      <c r="B39" s="362">
        <f t="shared" si="2"/>
        <v>1138.688815</v>
      </c>
      <c r="C39" s="363">
        <v>0.0</v>
      </c>
      <c r="D39" s="364">
        <f t="shared" si="3"/>
        <v>5605.852625</v>
      </c>
      <c r="E39" s="363">
        <v>0.0</v>
      </c>
      <c r="F39" s="364">
        <f t="shared" si="4"/>
        <v>437.9572364</v>
      </c>
      <c r="G39" s="363">
        <v>0.0</v>
      </c>
      <c r="H39" s="364">
        <f t="shared" si="5"/>
        <v>1576.646051</v>
      </c>
      <c r="I39" s="363">
        <v>0.0</v>
      </c>
      <c r="J39" s="364">
        <f t="shared" ref="J39:K39" si="26">J38+B39+D39+F39+H39</f>
        <v>183942.0393</v>
      </c>
      <c r="K39" s="364">
        <f t="shared" si="26"/>
        <v>0</v>
      </c>
      <c r="L39" s="365">
        <f t="shared" si="7"/>
        <v>183942.0393</v>
      </c>
    </row>
    <row r="40" ht="12.75" customHeight="1">
      <c r="A40" s="36" t="s">
        <v>171</v>
      </c>
      <c r="B40" s="362">
        <f t="shared" si="2"/>
        <v>1138.688815</v>
      </c>
      <c r="C40" s="363">
        <v>0.0</v>
      </c>
      <c r="D40" s="364">
        <f t="shared" si="3"/>
        <v>5605.852625</v>
      </c>
      <c r="E40" s="363">
        <v>0.0</v>
      </c>
      <c r="F40" s="364">
        <f t="shared" si="4"/>
        <v>437.9572364</v>
      </c>
      <c r="G40" s="363">
        <v>0.0</v>
      </c>
      <c r="H40" s="364">
        <f t="shared" si="5"/>
        <v>1576.646051</v>
      </c>
      <c r="I40" s="363">
        <v>0.0</v>
      </c>
      <c r="J40" s="364">
        <f t="shared" ref="J40:K40" si="27">J39+B40+D40+F40+H40</f>
        <v>192701.184</v>
      </c>
      <c r="K40" s="364">
        <f t="shared" si="27"/>
        <v>0</v>
      </c>
      <c r="L40" s="365">
        <f t="shared" si="7"/>
        <v>192701.184</v>
      </c>
    </row>
    <row r="41" ht="12.75" customHeight="1">
      <c r="A41" s="36" t="s">
        <v>172</v>
      </c>
      <c r="B41" s="362">
        <f t="shared" si="2"/>
        <v>1138.688815</v>
      </c>
      <c r="C41" s="363">
        <v>0.0</v>
      </c>
      <c r="D41" s="364">
        <f t="shared" si="3"/>
        <v>5605.852625</v>
      </c>
      <c r="E41" s="363">
        <v>0.0</v>
      </c>
      <c r="F41" s="364">
        <f t="shared" si="4"/>
        <v>437.9572364</v>
      </c>
      <c r="G41" s="363">
        <v>0.0</v>
      </c>
      <c r="H41" s="364">
        <f t="shared" si="5"/>
        <v>1576.646051</v>
      </c>
      <c r="I41" s="363">
        <v>0.0</v>
      </c>
      <c r="J41" s="364">
        <f t="shared" ref="J41:K41" si="28">J40+B41+D41+F41+H41</f>
        <v>201460.3287</v>
      </c>
      <c r="K41" s="364">
        <f t="shared" si="28"/>
        <v>0</v>
      </c>
      <c r="L41" s="365">
        <f t="shared" si="7"/>
        <v>201460.3287</v>
      </c>
    </row>
    <row r="42" ht="12.75" customHeight="1">
      <c r="A42" s="36" t="s">
        <v>173</v>
      </c>
      <c r="B42" s="362">
        <f t="shared" si="2"/>
        <v>1138.688815</v>
      </c>
      <c r="C42" s="363">
        <v>0.0</v>
      </c>
      <c r="D42" s="364">
        <f t="shared" si="3"/>
        <v>5605.852625</v>
      </c>
      <c r="E42" s="363">
        <v>0.0</v>
      </c>
      <c r="F42" s="364">
        <f t="shared" si="4"/>
        <v>437.9572364</v>
      </c>
      <c r="G42" s="363">
        <v>0.0</v>
      </c>
      <c r="H42" s="364">
        <f t="shared" si="5"/>
        <v>1576.646051</v>
      </c>
      <c r="I42" s="363">
        <v>0.0</v>
      </c>
      <c r="J42" s="364">
        <f t="shared" ref="J42:K42" si="29">J41+B42+D42+F42+H42</f>
        <v>210219.4735</v>
      </c>
      <c r="K42" s="364">
        <f t="shared" si="29"/>
        <v>0</v>
      </c>
      <c r="L42" s="365">
        <f t="shared" si="7"/>
        <v>210219.4735</v>
      </c>
    </row>
    <row r="43" ht="12.75" customHeight="1">
      <c r="A43" s="36" t="s">
        <v>174</v>
      </c>
      <c r="B43" s="362">
        <f t="shared" si="2"/>
        <v>1138.688815</v>
      </c>
      <c r="C43" s="363">
        <v>0.0</v>
      </c>
      <c r="D43" s="364">
        <f t="shared" si="3"/>
        <v>5605.852625</v>
      </c>
      <c r="E43" s="363">
        <v>0.0</v>
      </c>
      <c r="F43" s="364">
        <f t="shared" si="4"/>
        <v>437.9572364</v>
      </c>
      <c r="G43" s="363">
        <v>0.0</v>
      </c>
      <c r="H43" s="364">
        <f t="shared" si="5"/>
        <v>1576.646051</v>
      </c>
      <c r="I43" s="363">
        <v>0.0</v>
      </c>
      <c r="J43" s="364">
        <f t="shared" ref="J43:K43" si="30">J42+B43+D43+F43+H43</f>
        <v>218978.6182</v>
      </c>
      <c r="K43" s="364">
        <f t="shared" si="30"/>
        <v>0</v>
      </c>
      <c r="L43" s="365">
        <f t="shared" si="7"/>
        <v>218978.6182</v>
      </c>
    </row>
    <row r="44" ht="12.75" customHeight="1">
      <c r="A44" s="36" t="s">
        <v>175</v>
      </c>
      <c r="B44" s="362">
        <f t="shared" si="2"/>
        <v>1138.688815</v>
      </c>
      <c r="C44" s="363">
        <v>0.0</v>
      </c>
      <c r="D44" s="364">
        <f t="shared" si="3"/>
        <v>5605.852625</v>
      </c>
      <c r="E44" s="363">
        <v>0.0</v>
      </c>
      <c r="F44" s="364">
        <f t="shared" si="4"/>
        <v>437.9572364</v>
      </c>
      <c r="G44" s="363">
        <v>0.0</v>
      </c>
      <c r="H44" s="364">
        <f t="shared" si="5"/>
        <v>1576.646051</v>
      </c>
      <c r="I44" s="363">
        <v>0.0</v>
      </c>
      <c r="J44" s="364">
        <f t="shared" ref="J44:K44" si="31">J43+B44+D44+F44+H44</f>
        <v>227737.7629</v>
      </c>
      <c r="K44" s="364">
        <f t="shared" si="31"/>
        <v>0</v>
      </c>
      <c r="L44" s="365">
        <f t="shared" si="7"/>
        <v>227737.7629</v>
      </c>
    </row>
    <row r="45" ht="12.75" customHeight="1">
      <c r="A45" s="36" t="s">
        <v>176</v>
      </c>
      <c r="B45" s="367">
        <f t="shared" si="2"/>
        <v>1138.688815</v>
      </c>
      <c r="C45" s="368">
        <v>0.0</v>
      </c>
      <c r="D45" s="369">
        <f t="shared" si="3"/>
        <v>5605.852625</v>
      </c>
      <c r="E45" s="368">
        <v>0.0</v>
      </c>
      <c r="F45" s="369">
        <f t="shared" si="4"/>
        <v>437.9572364</v>
      </c>
      <c r="G45" s="368">
        <v>0.0</v>
      </c>
      <c r="H45" s="369">
        <f t="shared" si="5"/>
        <v>1576.646051</v>
      </c>
      <c r="I45" s="368">
        <v>0.0</v>
      </c>
      <c r="J45" s="369">
        <f t="shared" ref="J45:K45" si="32">J44+B45+D45+F45+H45</f>
        <v>236496.9076</v>
      </c>
      <c r="K45" s="369">
        <f t="shared" si="32"/>
        <v>0</v>
      </c>
      <c r="L45" s="370">
        <f t="shared" si="7"/>
        <v>236496.9076</v>
      </c>
    </row>
    <row r="46" ht="12.75" customHeight="1">
      <c r="K46" s="390"/>
      <c r="L46" s="391"/>
      <c r="M46" s="391"/>
      <c r="N46" s="391"/>
      <c r="O46" s="391"/>
    </row>
    <row r="47" ht="12.75" customHeight="1">
      <c r="K47" s="390"/>
      <c r="L47" s="391"/>
      <c r="M47" s="391"/>
      <c r="N47" s="391"/>
      <c r="O47" s="391"/>
    </row>
    <row r="48" ht="12.75" customHeight="1">
      <c r="A48" s="371" t="s">
        <v>177</v>
      </c>
      <c r="B48" s="108"/>
      <c r="C48" s="372" t="s">
        <v>178</v>
      </c>
      <c r="D48" s="373" t="s">
        <v>179</v>
      </c>
      <c r="E48" s="373" t="s">
        <v>180</v>
      </c>
      <c r="F48" s="374" t="s">
        <v>181</v>
      </c>
    </row>
    <row r="49" ht="14.25" customHeight="1">
      <c r="A49" s="375"/>
      <c r="B49" s="376"/>
      <c r="C49" s="377"/>
      <c r="D49" s="377"/>
      <c r="E49" s="377"/>
      <c r="F49" s="378"/>
    </row>
    <row r="50" ht="14.25" customHeight="1">
      <c r="A50" s="379"/>
      <c r="B50" s="380"/>
      <c r="C50" s="381"/>
      <c r="D50" s="381"/>
      <c r="E50" s="381"/>
      <c r="F50" s="382"/>
    </row>
    <row r="51" ht="14.25" customHeight="1">
      <c r="A51" s="379"/>
      <c r="B51" s="380"/>
      <c r="C51" s="381"/>
      <c r="D51" s="381"/>
      <c r="E51" s="381"/>
      <c r="F51" s="382"/>
    </row>
    <row r="52" ht="14.25" customHeight="1">
      <c r="A52" s="379"/>
      <c r="B52" s="380"/>
      <c r="C52" s="381"/>
      <c r="D52" s="381"/>
      <c r="E52" s="381"/>
      <c r="F52" s="382"/>
    </row>
    <row r="53" ht="14.25" customHeight="1">
      <c r="A53" s="379"/>
      <c r="B53" s="380"/>
      <c r="C53" s="381"/>
      <c r="D53" s="381"/>
      <c r="E53" s="381"/>
      <c r="F53" s="382"/>
    </row>
    <row r="54" ht="14.25" customHeight="1">
      <c r="A54" s="379"/>
      <c r="B54" s="380"/>
      <c r="C54" s="381"/>
      <c r="D54" s="381"/>
      <c r="E54" s="381"/>
      <c r="F54" s="382"/>
    </row>
    <row r="55" ht="14.25" customHeight="1">
      <c r="A55" s="379"/>
      <c r="B55" s="380"/>
      <c r="C55" s="381"/>
      <c r="D55" s="381"/>
      <c r="E55" s="381"/>
      <c r="F55" s="382"/>
    </row>
    <row r="56" ht="14.25" customHeight="1">
      <c r="A56" s="379"/>
      <c r="B56" s="380"/>
      <c r="C56" s="381"/>
      <c r="D56" s="381"/>
      <c r="E56" s="381"/>
      <c r="F56" s="382"/>
    </row>
    <row r="57" ht="14.25" customHeight="1">
      <c r="A57" s="379"/>
      <c r="B57" s="380"/>
      <c r="C57" s="381"/>
      <c r="D57" s="381"/>
      <c r="E57" s="381"/>
      <c r="F57" s="382"/>
    </row>
    <row r="58" ht="14.25" customHeight="1">
      <c r="A58" s="379"/>
      <c r="B58" s="380"/>
      <c r="C58" s="381"/>
      <c r="D58" s="381"/>
      <c r="E58" s="381"/>
      <c r="F58" s="382"/>
    </row>
    <row r="59" ht="14.25" customHeight="1">
      <c r="A59" s="379"/>
      <c r="B59" s="380"/>
      <c r="C59" s="381"/>
      <c r="D59" s="381"/>
      <c r="E59" s="381"/>
      <c r="F59" s="382"/>
    </row>
    <row r="60" ht="14.25" customHeight="1">
      <c r="A60" s="379"/>
      <c r="B60" s="380"/>
      <c r="C60" s="381"/>
      <c r="D60" s="381"/>
      <c r="E60" s="381"/>
      <c r="F60" s="382"/>
    </row>
    <row r="61" ht="14.25" customHeight="1">
      <c r="A61" s="379"/>
      <c r="B61" s="380"/>
      <c r="C61" s="381"/>
      <c r="D61" s="381"/>
      <c r="E61" s="381"/>
      <c r="F61" s="382"/>
    </row>
    <row r="62" ht="14.25" customHeight="1">
      <c r="A62" s="379"/>
      <c r="B62" s="380"/>
      <c r="C62" s="381"/>
      <c r="D62" s="381"/>
      <c r="E62" s="381"/>
      <c r="F62" s="382"/>
    </row>
    <row r="63" ht="14.25" customHeight="1">
      <c r="A63" s="379"/>
      <c r="B63" s="380"/>
      <c r="C63" s="381"/>
      <c r="D63" s="381"/>
      <c r="E63" s="381"/>
      <c r="F63" s="382"/>
    </row>
    <row r="64" ht="14.25" customHeight="1">
      <c r="A64" s="379"/>
      <c r="B64" s="380"/>
      <c r="C64" s="381"/>
      <c r="D64" s="381"/>
      <c r="E64" s="381"/>
      <c r="F64" s="382"/>
    </row>
    <row r="65" ht="14.25" customHeight="1">
      <c r="A65" s="379"/>
      <c r="B65" s="380"/>
      <c r="C65" s="381"/>
      <c r="D65" s="381"/>
      <c r="E65" s="381"/>
      <c r="F65" s="382"/>
    </row>
    <row r="66" ht="14.25" customHeight="1">
      <c r="A66" s="379"/>
      <c r="B66" s="380"/>
      <c r="C66" s="381"/>
      <c r="D66" s="381"/>
      <c r="E66" s="381"/>
      <c r="F66" s="382"/>
    </row>
    <row r="67" ht="14.25" customHeight="1">
      <c r="A67" s="379"/>
      <c r="B67" s="380"/>
      <c r="C67" s="381"/>
      <c r="D67" s="381"/>
      <c r="E67" s="381"/>
      <c r="F67" s="382"/>
    </row>
    <row r="68" ht="14.25" customHeight="1">
      <c r="A68" s="379"/>
      <c r="B68" s="380"/>
      <c r="C68" s="381"/>
      <c r="D68" s="381"/>
      <c r="E68" s="381"/>
      <c r="F68" s="382"/>
    </row>
    <row r="69" ht="12.75" customHeight="1">
      <c r="A69" s="383"/>
      <c r="B69" s="384"/>
      <c r="C69" s="385"/>
      <c r="D69" s="385"/>
      <c r="E69" s="385"/>
      <c r="F69" s="386"/>
    </row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3">
    <mergeCell ref="J1:M1"/>
    <mergeCell ref="D2:E2"/>
    <mergeCell ref="D3:E3"/>
    <mergeCell ref="D4:E4"/>
    <mergeCell ref="D6:E6"/>
    <mergeCell ref="D7:E7"/>
    <mergeCell ref="D8:E8"/>
    <mergeCell ref="D10:E10"/>
    <mergeCell ref="D11:E11"/>
    <mergeCell ref="D12:E12"/>
    <mergeCell ref="D14:E14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65:B65"/>
    <mergeCell ref="A66:B66"/>
    <mergeCell ref="A67:B67"/>
    <mergeCell ref="A68:B68"/>
    <mergeCell ref="A69:B69"/>
    <mergeCell ref="A58:B58"/>
    <mergeCell ref="A59:B59"/>
    <mergeCell ref="A60:B60"/>
    <mergeCell ref="A61:B61"/>
    <mergeCell ref="A62:B62"/>
    <mergeCell ref="A63:B63"/>
    <mergeCell ref="A64:B64"/>
  </mergeCells>
  <conditionalFormatting sqref="K19:K45">
    <cfRule type="cellIs" dxfId="1" priority="1" operator="greaterThan">
      <formula>$B$3</formula>
    </cfRule>
  </conditionalFormatting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5.75"/>
    <col customWidth="1" min="2" max="2" width="20.13"/>
    <col customWidth="1" min="3" max="3" width="15.0"/>
    <col customWidth="1" min="4" max="4" width="16.63"/>
    <col customWidth="1" min="5" max="5" width="24.38"/>
    <col customWidth="1" min="6" max="6" width="18.25"/>
    <col customWidth="1" min="7" max="7" width="16.63"/>
    <col customWidth="1" min="8" max="8" width="22.13"/>
    <col customWidth="1" min="9" max="9" width="12.75"/>
    <col customWidth="1" min="10" max="10" width="14.38"/>
    <col customWidth="1" min="11" max="11" width="13.0"/>
    <col customWidth="1" min="12" max="12" width="16.75"/>
    <col customWidth="1" min="13" max="26" width="8.63"/>
  </cols>
  <sheetData>
    <row r="1" ht="12.75" customHeight="1">
      <c r="A1" s="310" t="s">
        <v>190</v>
      </c>
      <c r="J1" s="389" t="s">
        <v>118</v>
      </c>
      <c r="K1" s="169"/>
      <c r="L1" s="169"/>
      <c r="M1" s="108"/>
    </row>
    <row r="2" ht="12.75" customHeight="1">
      <c r="D2" s="312" t="s">
        <v>119</v>
      </c>
      <c r="E2" s="167"/>
      <c r="F2" s="345">
        <f>'Input Data'!I12</f>
        <v>9000</v>
      </c>
      <c r="G2" s="346"/>
      <c r="H2" s="315" t="s">
        <v>187</v>
      </c>
      <c r="J2" s="316" t="s">
        <v>115</v>
      </c>
      <c r="K2" s="317" t="s">
        <v>87</v>
      </c>
      <c r="L2" s="317" t="s">
        <v>88</v>
      </c>
      <c r="M2" s="318" t="s">
        <v>86</v>
      </c>
    </row>
    <row r="3" ht="12.75" customHeight="1">
      <c r="A3" s="319" t="s">
        <v>121</v>
      </c>
      <c r="B3" s="320">
        <f>'Sales Goals'!I13</f>
        <v>211612.233</v>
      </c>
      <c r="D3" s="321" t="s">
        <v>122</v>
      </c>
      <c r="E3" s="172"/>
      <c r="F3" s="348">
        <f>B3*B9</f>
        <v>135431.8291</v>
      </c>
      <c r="G3" s="349" t="s">
        <v>123</v>
      </c>
      <c r="H3" s="324">
        <f>'Input Data'!I13</f>
        <v>0.5</v>
      </c>
      <c r="I3" s="3"/>
      <c r="J3" s="325"/>
      <c r="K3" s="326"/>
      <c r="L3" s="326"/>
      <c r="M3" s="327"/>
    </row>
    <row r="4" ht="12.75" customHeight="1">
      <c r="B4" s="36"/>
      <c r="D4" s="328" t="s">
        <v>124</v>
      </c>
      <c r="E4" s="108"/>
      <c r="F4" s="387">
        <f>F3/F2</f>
        <v>15.04798101</v>
      </c>
      <c r="G4" s="330"/>
      <c r="H4" s="331">
        <f>F4/H3</f>
        <v>30.09596202</v>
      </c>
      <c r="I4" s="3"/>
      <c r="J4" s="325">
        <f>H4/'Input Data'!G30</f>
        <v>0.5471993095</v>
      </c>
      <c r="K4" s="326"/>
      <c r="L4" s="326"/>
      <c r="M4" s="327">
        <f>F4/'Input Data'!G34</f>
        <v>0.6839991369</v>
      </c>
    </row>
    <row r="5" ht="12.75" customHeight="1">
      <c r="A5" s="332" t="s">
        <v>125</v>
      </c>
      <c r="B5" s="320">
        <f>((B3/31)*7)/'Break-even'!C25</f>
        <v>9556.681489</v>
      </c>
      <c r="F5" s="36"/>
      <c r="G5" s="36"/>
      <c r="H5" s="36"/>
      <c r="J5" s="325"/>
      <c r="K5" s="326"/>
      <c r="L5" s="326"/>
      <c r="M5" s="327"/>
    </row>
    <row r="6" ht="12.75" customHeight="1">
      <c r="B6" s="36"/>
      <c r="D6" s="312" t="s">
        <v>126</v>
      </c>
      <c r="E6" s="167"/>
      <c r="F6" s="345">
        <f>'Input Data'!I16</f>
        <v>450</v>
      </c>
      <c r="G6" s="346"/>
      <c r="H6" s="333" t="s">
        <v>127</v>
      </c>
      <c r="J6" s="334"/>
      <c r="K6" s="326"/>
      <c r="L6" s="326"/>
      <c r="M6" s="327"/>
    </row>
    <row r="7" ht="12.75" customHeight="1">
      <c r="A7" s="335" t="s">
        <v>35</v>
      </c>
      <c r="B7" s="320">
        <f>Budget!C36</f>
        <v>4885.054388</v>
      </c>
      <c r="D7" s="321" t="s">
        <v>128</v>
      </c>
      <c r="E7" s="172"/>
      <c r="F7" s="348">
        <f>B3*B11</f>
        <v>27509.59029</v>
      </c>
      <c r="G7" s="349" t="s">
        <v>123</v>
      </c>
      <c r="H7" s="324">
        <f>'Input Data'!I17</f>
        <v>1</v>
      </c>
      <c r="J7" s="325"/>
      <c r="K7" s="336"/>
      <c r="L7" s="326"/>
      <c r="M7" s="327"/>
    </row>
    <row r="8" ht="12.75" customHeight="1">
      <c r="B8" s="36"/>
      <c r="D8" s="328" t="s">
        <v>129</v>
      </c>
      <c r="E8" s="108"/>
      <c r="F8" s="351">
        <f>F7/F6</f>
        <v>61.13242286</v>
      </c>
      <c r="G8" s="330"/>
      <c r="H8" s="338">
        <f> F8/H7</f>
        <v>61.13242286</v>
      </c>
      <c r="J8" s="325"/>
      <c r="K8" s="326">
        <f>H8/'Input Data'!G31</f>
        <v>0.9262488312</v>
      </c>
      <c r="L8" s="326"/>
      <c r="M8" s="327"/>
    </row>
    <row r="9" ht="12.75" customHeight="1">
      <c r="A9" s="339" t="s">
        <v>130</v>
      </c>
      <c r="B9" s="340">
        <f>'Input Data'!I6</f>
        <v>0.64</v>
      </c>
      <c r="F9" s="36"/>
      <c r="G9" s="36"/>
      <c r="H9" s="36"/>
      <c r="J9" s="325"/>
      <c r="K9" s="326"/>
      <c r="L9" s="326"/>
      <c r="M9" s="327"/>
    </row>
    <row r="10" ht="12.75" customHeight="1">
      <c r="B10" s="36"/>
      <c r="D10" s="312" t="s">
        <v>131</v>
      </c>
      <c r="E10" s="167"/>
      <c r="F10" s="345">
        <f>'Input Data'!I20</f>
        <v>200</v>
      </c>
      <c r="G10" s="346"/>
      <c r="H10" s="333" t="s">
        <v>127</v>
      </c>
      <c r="J10" s="325"/>
      <c r="K10" s="326"/>
      <c r="L10" s="326"/>
      <c r="M10" s="327"/>
    </row>
    <row r="11" ht="12.75" customHeight="1">
      <c r="A11" s="339" t="s">
        <v>132</v>
      </c>
      <c r="B11" s="340">
        <f>'Input Data'!I7</f>
        <v>0.13</v>
      </c>
      <c r="D11" s="321" t="s">
        <v>133</v>
      </c>
      <c r="E11" s="172"/>
      <c r="F11" s="348">
        <f>B3*B13</f>
        <v>10580.61165</v>
      </c>
      <c r="G11" s="349" t="s">
        <v>123</v>
      </c>
      <c r="H11" s="324">
        <f>'Input Data'!I21</f>
        <v>1</v>
      </c>
      <c r="J11" s="325"/>
      <c r="K11" s="326"/>
      <c r="L11" s="326"/>
      <c r="M11" s="327"/>
    </row>
    <row r="12" ht="12.75" customHeight="1">
      <c r="A12" s="278"/>
      <c r="B12" s="342"/>
      <c r="D12" s="328" t="s">
        <v>134</v>
      </c>
      <c r="E12" s="169"/>
      <c r="F12" s="351">
        <f>F11/F10</f>
        <v>52.90305824</v>
      </c>
      <c r="G12" s="330"/>
      <c r="H12" s="338">
        <f> F12/H11</f>
        <v>52.90305824</v>
      </c>
      <c r="J12" s="325"/>
      <c r="K12" s="326">
        <f>H12/'Input Data'!G32</f>
        <v>0.5658081095</v>
      </c>
      <c r="L12" s="326"/>
      <c r="M12" s="327"/>
    </row>
    <row r="13" ht="12.75" customHeight="1">
      <c r="A13" s="328" t="s">
        <v>135</v>
      </c>
      <c r="B13" s="340">
        <f>'Input Data'!I8</f>
        <v>0.05</v>
      </c>
      <c r="J13" s="325"/>
      <c r="K13" s="326"/>
      <c r="L13" s="326"/>
      <c r="M13" s="327"/>
    </row>
    <row r="14" ht="12.75" customHeight="1">
      <c r="D14" s="312" t="s">
        <v>136</v>
      </c>
      <c r="E14" s="79"/>
      <c r="F14" s="345">
        <f>'Input Data'!I24</f>
        <v>750</v>
      </c>
      <c r="G14" s="346"/>
      <c r="H14" s="333" t="s">
        <v>127</v>
      </c>
      <c r="J14" s="325"/>
      <c r="K14" s="326"/>
      <c r="L14" s="326"/>
      <c r="M14" s="327"/>
    </row>
    <row r="15" ht="12.75" customHeight="1">
      <c r="A15" s="328" t="s">
        <v>137</v>
      </c>
      <c r="B15" s="324">
        <f>'Input Data'!I9</f>
        <v>0.18</v>
      </c>
      <c r="D15" s="347" t="s">
        <v>128</v>
      </c>
      <c r="E15" s="165"/>
      <c r="F15" s="348">
        <f>B3*B15</f>
        <v>38090.20193</v>
      </c>
      <c r="G15" s="349" t="s">
        <v>123</v>
      </c>
      <c r="H15" s="324">
        <f>'Input Data'!I25</f>
        <v>1</v>
      </c>
      <c r="J15" s="325"/>
      <c r="K15" s="326"/>
      <c r="L15" s="326"/>
      <c r="M15" s="327"/>
    </row>
    <row r="16" ht="12.75" customHeight="1">
      <c r="D16" s="328" t="s">
        <v>138</v>
      </c>
      <c r="E16" s="350"/>
      <c r="F16" s="351">
        <f>F15/F14</f>
        <v>50.78693591</v>
      </c>
      <c r="G16" s="330"/>
      <c r="H16" s="338">
        <f> F16/H15</f>
        <v>50.78693591</v>
      </c>
      <c r="J16" s="352"/>
      <c r="K16" s="388"/>
      <c r="L16" s="353" t="str">
        <f>H16/'Input Data'!G33</f>
        <v>#DIV/0!</v>
      </c>
      <c r="M16" s="354"/>
    </row>
    <row r="17" ht="12.75" customHeight="1"/>
    <row r="18" ht="60.0" customHeight="1">
      <c r="B18" s="355" t="s">
        <v>139</v>
      </c>
      <c r="C18" s="356" t="s">
        <v>140</v>
      </c>
      <c r="D18" s="356" t="s">
        <v>141</v>
      </c>
      <c r="E18" s="357" t="s">
        <v>184</v>
      </c>
      <c r="F18" s="356" t="s">
        <v>143</v>
      </c>
      <c r="G18" s="356" t="s">
        <v>185</v>
      </c>
      <c r="H18" s="356" t="s">
        <v>145</v>
      </c>
      <c r="I18" s="356" t="s">
        <v>146</v>
      </c>
      <c r="J18" s="356" t="s">
        <v>147</v>
      </c>
      <c r="K18" s="356" t="s">
        <v>148</v>
      </c>
      <c r="L18" s="356" t="s">
        <v>149</v>
      </c>
    </row>
    <row r="19" ht="12.75" customHeight="1">
      <c r="A19" s="36" t="s">
        <v>150</v>
      </c>
      <c r="B19" s="358">
        <f t="shared" ref="B19:B45" si="2">$B$5*$B$11</f>
        <v>1242.368594</v>
      </c>
      <c r="C19" s="305">
        <v>0.0</v>
      </c>
      <c r="D19" s="359">
        <f t="shared" ref="D19:D45" si="3">$B$5*$B$9</f>
        <v>6116.276153</v>
      </c>
      <c r="E19" s="305">
        <v>0.0</v>
      </c>
      <c r="F19" s="359">
        <f t="shared" ref="F19:F45" si="4">$B$5*$B$13</f>
        <v>477.8340744</v>
      </c>
      <c r="G19" s="305">
        <v>0.0</v>
      </c>
      <c r="H19" s="359">
        <f t="shared" ref="H19:H45" si="5">$B$5*$B$15</f>
        <v>1720.202668</v>
      </c>
      <c r="I19" s="305">
        <v>0.0</v>
      </c>
      <c r="J19" s="359">
        <f t="shared" ref="J19:K19" si="1">B19+D19+F19+H19</f>
        <v>9556.681489</v>
      </c>
      <c r="K19" s="360">
        <f t="shared" si="1"/>
        <v>0</v>
      </c>
      <c r="L19" s="361">
        <f t="shared" ref="L19:L45" si="7">J19-K19</f>
        <v>9556.681489</v>
      </c>
    </row>
    <row r="20" ht="12.75" customHeight="1">
      <c r="A20" s="36" t="s">
        <v>151</v>
      </c>
      <c r="B20" s="362">
        <f t="shared" si="2"/>
        <v>1242.368594</v>
      </c>
      <c r="C20" s="363">
        <v>0.0</v>
      </c>
      <c r="D20" s="364">
        <f t="shared" si="3"/>
        <v>6116.276153</v>
      </c>
      <c r="E20" s="363">
        <v>0.0</v>
      </c>
      <c r="F20" s="364">
        <f t="shared" si="4"/>
        <v>477.8340744</v>
      </c>
      <c r="G20" s="363">
        <v>0.0</v>
      </c>
      <c r="H20" s="364">
        <f t="shared" si="5"/>
        <v>1720.202668</v>
      </c>
      <c r="I20" s="363">
        <v>0.0</v>
      </c>
      <c r="J20" s="364">
        <f t="shared" ref="J20:K20" si="6">J19+B20+D20+F20+H20</f>
        <v>19113.36298</v>
      </c>
      <c r="K20" s="364">
        <f t="shared" si="6"/>
        <v>0</v>
      </c>
      <c r="L20" s="365">
        <f t="shared" si="7"/>
        <v>19113.36298</v>
      </c>
    </row>
    <row r="21" ht="12.75" customHeight="1">
      <c r="A21" s="36" t="s">
        <v>152</v>
      </c>
      <c r="B21" s="362">
        <f t="shared" si="2"/>
        <v>1242.368594</v>
      </c>
      <c r="C21" s="363">
        <v>0.0</v>
      </c>
      <c r="D21" s="364">
        <f t="shared" si="3"/>
        <v>6116.276153</v>
      </c>
      <c r="E21" s="363">
        <v>0.0</v>
      </c>
      <c r="F21" s="364">
        <f t="shared" si="4"/>
        <v>477.8340744</v>
      </c>
      <c r="G21" s="363">
        <v>0.0</v>
      </c>
      <c r="H21" s="364">
        <f t="shared" si="5"/>
        <v>1720.202668</v>
      </c>
      <c r="I21" s="363">
        <v>0.0</v>
      </c>
      <c r="J21" s="364">
        <f t="shared" ref="J21:K21" si="8">J20+B21+D21+F21+H21</f>
        <v>28670.04447</v>
      </c>
      <c r="K21" s="364">
        <f t="shared" si="8"/>
        <v>0</v>
      </c>
      <c r="L21" s="365">
        <f t="shared" si="7"/>
        <v>28670.04447</v>
      </c>
    </row>
    <row r="22" ht="12.75" customHeight="1">
      <c r="A22" s="36" t="s">
        <v>153</v>
      </c>
      <c r="B22" s="362">
        <f t="shared" si="2"/>
        <v>1242.368594</v>
      </c>
      <c r="C22" s="363">
        <v>0.0</v>
      </c>
      <c r="D22" s="364">
        <f t="shared" si="3"/>
        <v>6116.276153</v>
      </c>
      <c r="E22" s="363">
        <v>0.0</v>
      </c>
      <c r="F22" s="364">
        <f t="shared" si="4"/>
        <v>477.8340744</v>
      </c>
      <c r="G22" s="363">
        <v>0.0</v>
      </c>
      <c r="H22" s="364">
        <f t="shared" si="5"/>
        <v>1720.202668</v>
      </c>
      <c r="I22" s="363">
        <v>0.0</v>
      </c>
      <c r="J22" s="364">
        <f t="shared" ref="J22:K22" si="9">J21+B22+D22+F22+H22</f>
        <v>38226.72596</v>
      </c>
      <c r="K22" s="364">
        <f t="shared" si="9"/>
        <v>0</v>
      </c>
      <c r="L22" s="365">
        <f t="shared" si="7"/>
        <v>38226.72596</v>
      </c>
    </row>
    <row r="23" ht="12.75" customHeight="1">
      <c r="A23" s="36" t="s">
        <v>154</v>
      </c>
      <c r="B23" s="362">
        <f t="shared" si="2"/>
        <v>1242.368594</v>
      </c>
      <c r="C23" s="363">
        <v>0.0</v>
      </c>
      <c r="D23" s="364">
        <f t="shared" si="3"/>
        <v>6116.276153</v>
      </c>
      <c r="E23" s="363">
        <v>0.0</v>
      </c>
      <c r="F23" s="364">
        <f t="shared" si="4"/>
        <v>477.8340744</v>
      </c>
      <c r="G23" s="363">
        <v>0.0</v>
      </c>
      <c r="H23" s="364">
        <f t="shared" si="5"/>
        <v>1720.202668</v>
      </c>
      <c r="I23" s="363">
        <v>0.0</v>
      </c>
      <c r="J23" s="364">
        <f t="shared" ref="J23:K23" si="10">J22+B23+D23+F23+H23</f>
        <v>47783.40744</v>
      </c>
      <c r="K23" s="364">
        <f t="shared" si="10"/>
        <v>0</v>
      </c>
      <c r="L23" s="365">
        <f t="shared" si="7"/>
        <v>47783.40744</v>
      </c>
    </row>
    <row r="24" ht="12.75" customHeight="1">
      <c r="A24" s="36" t="s">
        <v>155</v>
      </c>
      <c r="B24" s="362">
        <f t="shared" si="2"/>
        <v>1242.368594</v>
      </c>
      <c r="C24" s="363">
        <v>0.0</v>
      </c>
      <c r="D24" s="364">
        <f t="shared" si="3"/>
        <v>6116.276153</v>
      </c>
      <c r="E24" s="363">
        <v>0.0</v>
      </c>
      <c r="F24" s="364">
        <f t="shared" si="4"/>
        <v>477.8340744</v>
      </c>
      <c r="G24" s="363">
        <v>0.0</v>
      </c>
      <c r="H24" s="364">
        <f t="shared" si="5"/>
        <v>1720.202668</v>
      </c>
      <c r="I24" s="363">
        <v>0.0</v>
      </c>
      <c r="J24" s="364">
        <f t="shared" ref="J24:K24" si="11">J23+B24+D24+F24+H24</f>
        <v>57340.08893</v>
      </c>
      <c r="K24" s="364">
        <f t="shared" si="11"/>
        <v>0</v>
      </c>
      <c r="L24" s="365">
        <f t="shared" si="7"/>
        <v>57340.08893</v>
      </c>
    </row>
    <row r="25" ht="12.75" customHeight="1">
      <c r="A25" s="36" t="s">
        <v>156</v>
      </c>
      <c r="B25" s="362">
        <f t="shared" si="2"/>
        <v>1242.368594</v>
      </c>
      <c r="C25" s="363">
        <v>0.0</v>
      </c>
      <c r="D25" s="364">
        <f t="shared" si="3"/>
        <v>6116.276153</v>
      </c>
      <c r="E25" s="363">
        <v>0.0</v>
      </c>
      <c r="F25" s="364">
        <f t="shared" si="4"/>
        <v>477.8340744</v>
      </c>
      <c r="G25" s="363">
        <v>0.0</v>
      </c>
      <c r="H25" s="364">
        <f t="shared" si="5"/>
        <v>1720.202668</v>
      </c>
      <c r="I25" s="363">
        <v>0.0</v>
      </c>
      <c r="J25" s="364">
        <f t="shared" ref="J25:K25" si="12">J24+B25+D25+F25+H25</f>
        <v>66896.77042</v>
      </c>
      <c r="K25" s="364">
        <f t="shared" si="12"/>
        <v>0</v>
      </c>
      <c r="L25" s="365">
        <f t="shared" si="7"/>
        <v>66896.77042</v>
      </c>
    </row>
    <row r="26" ht="12.75" customHeight="1">
      <c r="A26" s="36" t="s">
        <v>157</v>
      </c>
      <c r="B26" s="362">
        <f t="shared" si="2"/>
        <v>1242.368594</v>
      </c>
      <c r="C26" s="363">
        <v>0.0</v>
      </c>
      <c r="D26" s="364">
        <f t="shared" si="3"/>
        <v>6116.276153</v>
      </c>
      <c r="E26" s="363">
        <v>0.0</v>
      </c>
      <c r="F26" s="364">
        <f t="shared" si="4"/>
        <v>477.8340744</v>
      </c>
      <c r="G26" s="363">
        <v>0.0</v>
      </c>
      <c r="H26" s="364">
        <f t="shared" si="5"/>
        <v>1720.202668</v>
      </c>
      <c r="I26" s="363">
        <v>0.0</v>
      </c>
      <c r="J26" s="364">
        <f t="shared" ref="J26:K26" si="13">J25+B26+D26+F26+H26</f>
        <v>76453.45191</v>
      </c>
      <c r="K26" s="364">
        <f t="shared" si="13"/>
        <v>0</v>
      </c>
      <c r="L26" s="365">
        <f t="shared" si="7"/>
        <v>76453.45191</v>
      </c>
    </row>
    <row r="27" ht="12.75" customHeight="1">
      <c r="A27" s="36" t="s">
        <v>158</v>
      </c>
      <c r="B27" s="362">
        <f t="shared" si="2"/>
        <v>1242.368594</v>
      </c>
      <c r="C27" s="363">
        <v>0.0</v>
      </c>
      <c r="D27" s="364">
        <f t="shared" si="3"/>
        <v>6116.276153</v>
      </c>
      <c r="E27" s="363">
        <v>0.0</v>
      </c>
      <c r="F27" s="364">
        <f t="shared" si="4"/>
        <v>477.8340744</v>
      </c>
      <c r="G27" s="363">
        <v>0.0</v>
      </c>
      <c r="H27" s="364">
        <f t="shared" si="5"/>
        <v>1720.202668</v>
      </c>
      <c r="I27" s="363">
        <v>0.0</v>
      </c>
      <c r="J27" s="364">
        <f t="shared" ref="J27:K27" si="14">J26+B27+D27+F27+H27</f>
        <v>86010.1334</v>
      </c>
      <c r="K27" s="364">
        <f t="shared" si="14"/>
        <v>0</v>
      </c>
      <c r="L27" s="365">
        <f t="shared" si="7"/>
        <v>86010.1334</v>
      </c>
    </row>
    <row r="28" ht="12.75" customHeight="1">
      <c r="A28" s="36" t="s">
        <v>159</v>
      </c>
      <c r="B28" s="362">
        <f t="shared" si="2"/>
        <v>1242.368594</v>
      </c>
      <c r="C28" s="363">
        <v>0.0</v>
      </c>
      <c r="D28" s="364">
        <f t="shared" si="3"/>
        <v>6116.276153</v>
      </c>
      <c r="E28" s="363">
        <v>0.0</v>
      </c>
      <c r="F28" s="364">
        <f t="shared" si="4"/>
        <v>477.8340744</v>
      </c>
      <c r="G28" s="363">
        <v>0.0</v>
      </c>
      <c r="H28" s="364">
        <f t="shared" si="5"/>
        <v>1720.202668</v>
      </c>
      <c r="I28" s="363">
        <v>0.0</v>
      </c>
      <c r="J28" s="364">
        <f t="shared" ref="J28:K28" si="15">J27+B28+D28+F28+H28</f>
        <v>95566.81489</v>
      </c>
      <c r="K28" s="364">
        <f t="shared" si="15"/>
        <v>0</v>
      </c>
      <c r="L28" s="365">
        <f t="shared" si="7"/>
        <v>95566.81489</v>
      </c>
    </row>
    <row r="29" ht="12.75" customHeight="1">
      <c r="A29" s="36" t="s">
        <v>160</v>
      </c>
      <c r="B29" s="362">
        <f t="shared" si="2"/>
        <v>1242.368594</v>
      </c>
      <c r="C29" s="363">
        <v>0.0</v>
      </c>
      <c r="D29" s="364">
        <f t="shared" si="3"/>
        <v>6116.276153</v>
      </c>
      <c r="E29" s="363">
        <v>0.0</v>
      </c>
      <c r="F29" s="364">
        <f t="shared" si="4"/>
        <v>477.8340744</v>
      </c>
      <c r="G29" s="363">
        <v>0.0</v>
      </c>
      <c r="H29" s="364">
        <f t="shared" si="5"/>
        <v>1720.202668</v>
      </c>
      <c r="I29" s="363">
        <v>0.0</v>
      </c>
      <c r="J29" s="364">
        <f t="shared" ref="J29:K29" si="16">J28+B29+D29+F29+H29</f>
        <v>105123.4964</v>
      </c>
      <c r="K29" s="364">
        <f t="shared" si="16"/>
        <v>0</v>
      </c>
      <c r="L29" s="365">
        <f t="shared" si="7"/>
        <v>105123.4964</v>
      </c>
    </row>
    <row r="30" ht="12.75" customHeight="1">
      <c r="A30" s="36" t="s">
        <v>161</v>
      </c>
      <c r="B30" s="362">
        <f t="shared" si="2"/>
        <v>1242.368594</v>
      </c>
      <c r="C30" s="363">
        <v>0.0</v>
      </c>
      <c r="D30" s="364">
        <f t="shared" si="3"/>
        <v>6116.276153</v>
      </c>
      <c r="E30" s="363">
        <v>0.0</v>
      </c>
      <c r="F30" s="364">
        <f t="shared" si="4"/>
        <v>477.8340744</v>
      </c>
      <c r="G30" s="363">
        <v>0.0</v>
      </c>
      <c r="H30" s="364">
        <f t="shared" si="5"/>
        <v>1720.202668</v>
      </c>
      <c r="I30" s="363">
        <v>0.0</v>
      </c>
      <c r="J30" s="364">
        <f t="shared" ref="J30:K30" si="17">J29+B30+D30+F30+H30</f>
        <v>114680.1779</v>
      </c>
      <c r="K30" s="364">
        <f t="shared" si="17"/>
        <v>0</v>
      </c>
      <c r="L30" s="365">
        <f t="shared" si="7"/>
        <v>114680.1779</v>
      </c>
    </row>
    <row r="31" ht="12.75" customHeight="1">
      <c r="A31" s="36" t="s">
        <v>162</v>
      </c>
      <c r="B31" s="362">
        <f t="shared" si="2"/>
        <v>1242.368594</v>
      </c>
      <c r="C31" s="363">
        <v>0.0</v>
      </c>
      <c r="D31" s="364">
        <f t="shared" si="3"/>
        <v>6116.276153</v>
      </c>
      <c r="E31" s="363">
        <v>0.0</v>
      </c>
      <c r="F31" s="364">
        <f t="shared" si="4"/>
        <v>477.8340744</v>
      </c>
      <c r="G31" s="363">
        <v>0.0</v>
      </c>
      <c r="H31" s="364">
        <f t="shared" si="5"/>
        <v>1720.202668</v>
      </c>
      <c r="I31" s="363">
        <v>0.0</v>
      </c>
      <c r="J31" s="364">
        <f t="shared" ref="J31:K31" si="18">J30+B31+D31+F31+H31</f>
        <v>124236.8594</v>
      </c>
      <c r="K31" s="364">
        <f t="shared" si="18"/>
        <v>0</v>
      </c>
      <c r="L31" s="365">
        <f t="shared" si="7"/>
        <v>124236.8594</v>
      </c>
    </row>
    <row r="32" ht="12.75" customHeight="1">
      <c r="A32" s="36" t="s">
        <v>163</v>
      </c>
      <c r="B32" s="362">
        <f t="shared" si="2"/>
        <v>1242.368594</v>
      </c>
      <c r="C32" s="363">
        <v>0.0</v>
      </c>
      <c r="D32" s="364">
        <f t="shared" si="3"/>
        <v>6116.276153</v>
      </c>
      <c r="E32" s="363">
        <v>0.0</v>
      </c>
      <c r="F32" s="364">
        <f t="shared" si="4"/>
        <v>477.8340744</v>
      </c>
      <c r="G32" s="363">
        <v>0.0</v>
      </c>
      <c r="H32" s="364">
        <f t="shared" si="5"/>
        <v>1720.202668</v>
      </c>
      <c r="I32" s="363">
        <v>0.0</v>
      </c>
      <c r="J32" s="364">
        <f t="shared" ref="J32:K32" si="19">J31+B32+D32+F32+H32</f>
        <v>133793.5408</v>
      </c>
      <c r="K32" s="364">
        <f t="shared" si="19"/>
        <v>0</v>
      </c>
      <c r="L32" s="365">
        <f t="shared" si="7"/>
        <v>133793.5408</v>
      </c>
    </row>
    <row r="33" ht="12.75" customHeight="1">
      <c r="A33" s="36" t="s">
        <v>164</v>
      </c>
      <c r="B33" s="362">
        <f t="shared" si="2"/>
        <v>1242.368594</v>
      </c>
      <c r="C33" s="363">
        <v>0.0</v>
      </c>
      <c r="D33" s="364">
        <f t="shared" si="3"/>
        <v>6116.276153</v>
      </c>
      <c r="E33" s="363">
        <v>0.0</v>
      </c>
      <c r="F33" s="364">
        <f t="shared" si="4"/>
        <v>477.8340744</v>
      </c>
      <c r="G33" s="363">
        <v>0.0</v>
      </c>
      <c r="H33" s="364">
        <f t="shared" si="5"/>
        <v>1720.202668</v>
      </c>
      <c r="I33" s="363">
        <v>0.0</v>
      </c>
      <c r="J33" s="364">
        <f t="shared" ref="J33:K33" si="20">J32+B33+D33+F33+H33</f>
        <v>143350.2223</v>
      </c>
      <c r="K33" s="364">
        <f t="shared" si="20"/>
        <v>0</v>
      </c>
      <c r="L33" s="365">
        <f t="shared" si="7"/>
        <v>143350.2223</v>
      </c>
    </row>
    <row r="34" ht="12.75" customHeight="1">
      <c r="A34" s="36" t="s">
        <v>165</v>
      </c>
      <c r="B34" s="362">
        <f t="shared" si="2"/>
        <v>1242.368594</v>
      </c>
      <c r="C34" s="363">
        <v>0.0</v>
      </c>
      <c r="D34" s="364">
        <f t="shared" si="3"/>
        <v>6116.276153</v>
      </c>
      <c r="E34" s="363">
        <v>0.0</v>
      </c>
      <c r="F34" s="364">
        <f t="shared" si="4"/>
        <v>477.8340744</v>
      </c>
      <c r="G34" s="363">
        <v>0.0</v>
      </c>
      <c r="H34" s="364">
        <f t="shared" si="5"/>
        <v>1720.202668</v>
      </c>
      <c r="I34" s="363">
        <v>0.0</v>
      </c>
      <c r="J34" s="364">
        <f t="shared" ref="J34:K34" si="21">J33+B34+D34+F34+H34</f>
        <v>152906.9038</v>
      </c>
      <c r="K34" s="364">
        <f t="shared" si="21"/>
        <v>0</v>
      </c>
      <c r="L34" s="365">
        <f t="shared" si="7"/>
        <v>152906.9038</v>
      </c>
    </row>
    <row r="35" ht="12.75" customHeight="1">
      <c r="A35" s="36" t="s">
        <v>166</v>
      </c>
      <c r="B35" s="362">
        <f t="shared" si="2"/>
        <v>1242.368594</v>
      </c>
      <c r="C35" s="363">
        <v>0.0</v>
      </c>
      <c r="D35" s="364">
        <f t="shared" si="3"/>
        <v>6116.276153</v>
      </c>
      <c r="E35" s="363">
        <v>0.0</v>
      </c>
      <c r="F35" s="364">
        <f t="shared" si="4"/>
        <v>477.8340744</v>
      </c>
      <c r="G35" s="363">
        <v>0.0</v>
      </c>
      <c r="H35" s="364">
        <f t="shared" si="5"/>
        <v>1720.202668</v>
      </c>
      <c r="I35" s="363">
        <v>0.0</v>
      </c>
      <c r="J35" s="364">
        <f t="shared" ref="J35:K35" si="22">J34+B35+D35+F35+H35</f>
        <v>162463.5853</v>
      </c>
      <c r="K35" s="364">
        <f t="shared" si="22"/>
        <v>0</v>
      </c>
      <c r="L35" s="365">
        <f t="shared" si="7"/>
        <v>162463.5853</v>
      </c>
    </row>
    <row r="36" ht="12.75" customHeight="1">
      <c r="A36" s="36" t="s">
        <v>167</v>
      </c>
      <c r="B36" s="362">
        <f t="shared" si="2"/>
        <v>1242.368594</v>
      </c>
      <c r="C36" s="363">
        <v>0.0</v>
      </c>
      <c r="D36" s="364">
        <f t="shared" si="3"/>
        <v>6116.276153</v>
      </c>
      <c r="E36" s="363">
        <v>0.0</v>
      </c>
      <c r="F36" s="364">
        <f t="shared" si="4"/>
        <v>477.8340744</v>
      </c>
      <c r="G36" s="363">
        <v>0.0</v>
      </c>
      <c r="H36" s="364">
        <f t="shared" si="5"/>
        <v>1720.202668</v>
      </c>
      <c r="I36" s="363">
        <v>0.0</v>
      </c>
      <c r="J36" s="364">
        <f t="shared" ref="J36:K36" si="23">J35+B36+D36+F36+H36</f>
        <v>172020.2668</v>
      </c>
      <c r="K36" s="364">
        <f t="shared" si="23"/>
        <v>0</v>
      </c>
      <c r="L36" s="365">
        <f t="shared" si="7"/>
        <v>172020.2668</v>
      </c>
    </row>
    <row r="37" ht="12.75" customHeight="1">
      <c r="A37" s="36" t="s">
        <v>168</v>
      </c>
      <c r="B37" s="362">
        <f t="shared" si="2"/>
        <v>1242.368594</v>
      </c>
      <c r="C37" s="363">
        <v>0.0</v>
      </c>
      <c r="D37" s="364">
        <f t="shared" si="3"/>
        <v>6116.276153</v>
      </c>
      <c r="E37" s="363">
        <v>0.0</v>
      </c>
      <c r="F37" s="364">
        <f t="shared" si="4"/>
        <v>477.8340744</v>
      </c>
      <c r="G37" s="363">
        <v>0.0</v>
      </c>
      <c r="H37" s="364">
        <f t="shared" si="5"/>
        <v>1720.202668</v>
      </c>
      <c r="I37" s="363">
        <v>0.0</v>
      </c>
      <c r="J37" s="364">
        <f t="shared" ref="J37:K37" si="24">J36+B37+D37+F37+H37</f>
        <v>181576.9483</v>
      </c>
      <c r="K37" s="364">
        <f t="shared" si="24"/>
        <v>0</v>
      </c>
      <c r="L37" s="365">
        <f t="shared" si="7"/>
        <v>181576.9483</v>
      </c>
    </row>
    <row r="38" ht="12.75" customHeight="1">
      <c r="A38" s="36" t="s">
        <v>169</v>
      </c>
      <c r="B38" s="362">
        <f t="shared" si="2"/>
        <v>1242.368594</v>
      </c>
      <c r="C38" s="363">
        <v>0.0</v>
      </c>
      <c r="D38" s="364">
        <f t="shared" si="3"/>
        <v>6116.276153</v>
      </c>
      <c r="E38" s="363">
        <v>0.0</v>
      </c>
      <c r="F38" s="364">
        <f t="shared" si="4"/>
        <v>477.8340744</v>
      </c>
      <c r="G38" s="363">
        <v>0.0</v>
      </c>
      <c r="H38" s="364">
        <f t="shared" si="5"/>
        <v>1720.202668</v>
      </c>
      <c r="I38" s="363">
        <v>0.0</v>
      </c>
      <c r="J38" s="364">
        <f t="shared" ref="J38:K38" si="25">J37+B38+D38+F38+H38</f>
        <v>191133.6298</v>
      </c>
      <c r="K38" s="364">
        <f t="shared" si="25"/>
        <v>0</v>
      </c>
      <c r="L38" s="365">
        <f t="shared" si="7"/>
        <v>191133.6298</v>
      </c>
    </row>
    <row r="39" ht="12.75" customHeight="1">
      <c r="A39" s="36" t="s">
        <v>170</v>
      </c>
      <c r="B39" s="362">
        <f t="shared" si="2"/>
        <v>1242.368594</v>
      </c>
      <c r="C39" s="363">
        <v>0.0</v>
      </c>
      <c r="D39" s="364">
        <f t="shared" si="3"/>
        <v>6116.276153</v>
      </c>
      <c r="E39" s="363">
        <v>0.0</v>
      </c>
      <c r="F39" s="364">
        <f t="shared" si="4"/>
        <v>477.8340744</v>
      </c>
      <c r="G39" s="363">
        <v>0.0</v>
      </c>
      <c r="H39" s="364">
        <f t="shared" si="5"/>
        <v>1720.202668</v>
      </c>
      <c r="I39" s="363">
        <v>0.0</v>
      </c>
      <c r="J39" s="364">
        <f t="shared" ref="J39:K39" si="26">J38+B39+D39+F39+H39</f>
        <v>200690.3113</v>
      </c>
      <c r="K39" s="364">
        <f t="shared" si="26"/>
        <v>0</v>
      </c>
      <c r="L39" s="365">
        <f t="shared" si="7"/>
        <v>200690.3113</v>
      </c>
    </row>
    <row r="40" ht="12.75" customHeight="1">
      <c r="A40" s="36" t="s">
        <v>171</v>
      </c>
      <c r="B40" s="362">
        <f t="shared" si="2"/>
        <v>1242.368594</v>
      </c>
      <c r="C40" s="363">
        <v>0.0</v>
      </c>
      <c r="D40" s="364">
        <f t="shared" si="3"/>
        <v>6116.276153</v>
      </c>
      <c r="E40" s="363">
        <v>0.0</v>
      </c>
      <c r="F40" s="364">
        <f t="shared" si="4"/>
        <v>477.8340744</v>
      </c>
      <c r="G40" s="363">
        <v>0.0</v>
      </c>
      <c r="H40" s="364">
        <f t="shared" si="5"/>
        <v>1720.202668</v>
      </c>
      <c r="I40" s="363">
        <v>0.0</v>
      </c>
      <c r="J40" s="364">
        <f t="shared" ref="J40:K40" si="27">J39+B40+D40+F40+H40</f>
        <v>210246.9928</v>
      </c>
      <c r="K40" s="364">
        <f t="shared" si="27"/>
        <v>0</v>
      </c>
      <c r="L40" s="365">
        <f t="shared" si="7"/>
        <v>210246.9928</v>
      </c>
    </row>
    <row r="41" ht="12.75" customHeight="1">
      <c r="A41" s="36" t="s">
        <v>172</v>
      </c>
      <c r="B41" s="362">
        <f t="shared" si="2"/>
        <v>1242.368594</v>
      </c>
      <c r="C41" s="363">
        <v>0.0</v>
      </c>
      <c r="D41" s="364">
        <f t="shared" si="3"/>
        <v>6116.276153</v>
      </c>
      <c r="E41" s="363">
        <v>0.0</v>
      </c>
      <c r="F41" s="364">
        <f t="shared" si="4"/>
        <v>477.8340744</v>
      </c>
      <c r="G41" s="363">
        <v>0.0</v>
      </c>
      <c r="H41" s="364">
        <f t="shared" si="5"/>
        <v>1720.202668</v>
      </c>
      <c r="I41" s="363">
        <v>0.0</v>
      </c>
      <c r="J41" s="364">
        <f t="shared" ref="J41:K41" si="28">J40+B41+D41+F41+H41</f>
        <v>219803.6742</v>
      </c>
      <c r="K41" s="364">
        <f t="shared" si="28"/>
        <v>0</v>
      </c>
      <c r="L41" s="365">
        <f t="shared" si="7"/>
        <v>219803.6742</v>
      </c>
    </row>
    <row r="42" ht="12.75" customHeight="1">
      <c r="A42" s="36" t="s">
        <v>173</v>
      </c>
      <c r="B42" s="362">
        <f t="shared" si="2"/>
        <v>1242.368594</v>
      </c>
      <c r="C42" s="363">
        <v>0.0</v>
      </c>
      <c r="D42" s="364">
        <f t="shared" si="3"/>
        <v>6116.276153</v>
      </c>
      <c r="E42" s="363">
        <v>0.0</v>
      </c>
      <c r="F42" s="364">
        <f t="shared" si="4"/>
        <v>477.8340744</v>
      </c>
      <c r="G42" s="363">
        <v>0.0</v>
      </c>
      <c r="H42" s="364">
        <f t="shared" si="5"/>
        <v>1720.202668</v>
      </c>
      <c r="I42" s="363">
        <v>0.0</v>
      </c>
      <c r="J42" s="364">
        <f t="shared" ref="J42:K42" si="29">J41+B42+D42+F42+H42</f>
        <v>229360.3557</v>
      </c>
      <c r="K42" s="364">
        <f t="shared" si="29"/>
        <v>0</v>
      </c>
      <c r="L42" s="365">
        <f t="shared" si="7"/>
        <v>229360.3557</v>
      </c>
    </row>
    <row r="43" ht="12.75" customHeight="1">
      <c r="A43" s="36" t="s">
        <v>174</v>
      </c>
      <c r="B43" s="362">
        <f t="shared" si="2"/>
        <v>1242.368594</v>
      </c>
      <c r="C43" s="363">
        <v>0.0</v>
      </c>
      <c r="D43" s="364">
        <f t="shared" si="3"/>
        <v>6116.276153</v>
      </c>
      <c r="E43" s="363">
        <v>0.0</v>
      </c>
      <c r="F43" s="364">
        <f t="shared" si="4"/>
        <v>477.8340744</v>
      </c>
      <c r="G43" s="363">
        <v>0.0</v>
      </c>
      <c r="H43" s="364">
        <f t="shared" si="5"/>
        <v>1720.202668</v>
      </c>
      <c r="I43" s="363">
        <v>0.0</v>
      </c>
      <c r="J43" s="364">
        <f t="shared" ref="J43:K43" si="30">J42+B43+D43+F43+H43</f>
        <v>238917.0372</v>
      </c>
      <c r="K43" s="364">
        <f t="shared" si="30"/>
        <v>0</v>
      </c>
      <c r="L43" s="365">
        <f t="shared" si="7"/>
        <v>238917.0372</v>
      </c>
    </row>
    <row r="44" ht="12.75" customHeight="1">
      <c r="A44" s="36" t="s">
        <v>175</v>
      </c>
      <c r="B44" s="362">
        <f t="shared" si="2"/>
        <v>1242.368594</v>
      </c>
      <c r="C44" s="363">
        <v>0.0</v>
      </c>
      <c r="D44" s="364">
        <f t="shared" si="3"/>
        <v>6116.276153</v>
      </c>
      <c r="E44" s="363">
        <v>0.0</v>
      </c>
      <c r="F44" s="364">
        <f t="shared" si="4"/>
        <v>477.8340744</v>
      </c>
      <c r="G44" s="363">
        <v>0.0</v>
      </c>
      <c r="H44" s="364">
        <f t="shared" si="5"/>
        <v>1720.202668</v>
      </c>
      <c r="I44" s="363">
        <v>0.0</v>
      </c>
      <c r="J44" s="364">
        <f t="shared" ref="J44:K44" si="31">J43+B44+D44+F44+H44</f>
        <v>248473.7187</v>
      </c>
      <c r="K44" s="364">
        <f t="shared" si="31"/>
        <v>0</v>
      </c>
      <c r="L44" s="365">
        <f t="shared" si="7"/>
        <v>248473.7187</v>
      </c>
    </row>
    <row r="45" ht="12.75" customHeight="1">
      <c r="A45" s="36" t="s">
        <v>176</v>
      </c>
      <c r="B45" s="367">
        <f t="shared" si="2"/>
        <v>1242.368594</v>
      </c>
      <c r="C45" s="368">
        <v>0.0</v>
      </c>
      <c r="D45" s="369">
        <f t="shared" si="3"/>
        <v>6116.276153</v>
      </c>
      <c r="E45" s="368">
        <v>0.0</v>
      </c>
      <c r="F45" s="369">
        <f t="shared" si="4"/>
        <v>477.8340744</v>
      </c>
      <c r="G45" s="368">
        <v>0.0</v>
      </c>
      <c r="H45" s="369">
        <f t="shared" si="5"/>
        <v>1720.202668</v>
      </c>
      <c r="I45" s="368">
        <v>0.0</v>
      </c>
      <c r="J45" s="369">
        <f t="shared" ref="J45:K45" si="32">J44+B45+D45+F45+H45</f>
        <v>258030.4002</v>
      </c>
      <c r="K45" s="369">
        <f t="shared" si="32"/>
        <v>0</v>
      </c>
      <c r="L45" s="370">
        <f t="shared" si="7"/>
        <v>258030.4002</v>
      </c>
    </row>
    <row r="46" ht="12.75" customHeight="1"/>
    <row r="47" ht="12.75" customHeight="1"/>
    <row r="48" ht="12.75" customHeight="1">
      <c r="A48" s="371" t="s">
        <v>177</v>
      </c>
      <c r="B48" s="108"/>
      <c r="C48" s="372" t="s">
        <v>178</v>
      </c>
      <c r="D48" s="373" t="s">
        <v>179</v>
      </c>
      <c r="E48" s="373" t="s">
        <v>180</v>
      </c>
      <c r="F48" s="374" t="s">
        <v>181</v>
      </c>
    </row>
    <row r="49" ht="14.25" customHeight="1">
      <c r="A49" s="375"/>
      <c r="B49" s="376"/>
      <c r="C49" s="377"/>
      <c r="D49" s="377"/>
      <c r="E49" s="377"/>
      <c r="F49" s="378"/>
    </row>
    <row r="50" ht="14.25" customHeight="1">
      <c r="A50" s="379"/>
      <c r="B50" s="380"/>
      <c r="C50" s="381"/>
      <c r="D50" s="381"/>
      <c r="E50" s="381"/>
      <c r="F50" s="382"/>
    </row>
    <row r="51" ht="14.25" customHeight="1">
      <c r="A51" s="379"/>
      <c r="B51" s="380"/>
      <c r="C51" s="381"/>
      <c r="D51" s="381"/>
      <c r="E51" s="381"/>
      <c r="F51" s="382"/>
    </row>
    <row r="52" ht="14.25" customHeight="1">
      <c r="A52" s="379"/>
      <c r="B52" s="380"/>
      <c r="C52" s="381"/>
      <c r="D52" s="381"/>
      <c r="E52" s="381"/>
      <c r="F52" s="382"/>
    </row>
    <row r="53" ht="14.25" customHeight="1">
      <c r="A53" s="379"/>
      <c r="B53" s="380"/>
      <c r="C53" s="381"/>
      <c r="D53" s="381"/>
      <c r="E53" s="381"/>
      <c r="F53" s="382"/>
    </row>
    <row r="54" ht="14.25" customHeight="1">
      <c r="A54" s="379"/>
      <c r="B54" s="380"/>
      <c r="C54" s="381"/>
      <c r="D54" s="381"/>
      <c r="E54" s="381"/>
      <c r="F54" s="382"/>
    </row>
    <row r="55" ht="14.25" customHeight="1">
      <c r="A55" s="379"/>
      <c r="B55" s="380"/>
      <c r="C55" s="381"/>
      <c r="D55" s="381"/>
      <c r="E55" s="381"/>
      <c r="F55" s="382"/>
    </row>
    <row r="56" ht="14.25" customHeight="1">
      <c r="A56" s="379"/>
      <c r="B56" s="380"/>
      <c r="C56" s="381"/>
      <c r="D56" s="381"/>
      <c r="E56" s="381"/>
      <c r="F56" s="382"/>
    </row>
    <row r="57" ht="14.25" customHeight="1">
      <c r="A57" s="379"/>
      <c r="B57" s="380"/>
      <c r="C57" s="381"/>
      <c r="D57" s="381"/>
      <c r="E57" s="381"/>
      <c r="F57" s="382"/>
    </row>
    <row r="58" ht="14.25" customHeight="1">
      <c r="A58" s="379"/>
      <c r="B58" s="380"/>
      <c r="C58" s="381"/>
      <c r="D58" s="381"/>
      <c r="E58" s="381"/>
      <c r="F58" s="382"/>
    </row>
    <row r="59" ht="14.25" customHeight="1">
      <c r="A59" s="379"/>
      <c r="B59" s="380"/>
      <c r="C59" s="381"/>
      <c r="D59" s="381"/>
      <c r="E59" s="381"/>
      <c r="F59" s="382"/>
    </row>
    <row r="60" ht="14.25" customHeight="1">
      <c r="A60" s="379"/>
      <c r="B60" s="380"/>
      <c r="C60" s="381"/>
      <c r="D60" s="381"/>
      <c r="E60" s="381"/>
      <c r="F60" s="382"/>
    </row>
    <row r="61" ht="14.25" customHeight="1">
      <c r="A61" s="379"/>
      <c r="B61" s="380"/>
      <c r="C61" s="381"/>
      <c r="D61" s="381"/>
      <c r="E61" s="381"/>
      <c r="F61" s="382"/>
    </row>
    <row r="62" ht="14.25" customHeight="1">
      <c r="A62" s="379"/>
      <c r="B62" s="380"/>
      <c r="C62" s="381"/>
      <c r="D62" s="381"/>
      <c r="E62" s="381"/>
      <c r="F62" s="382"/>
    </row>
    <row r="63" ht="14.25" customHeight="1">
      <c r="A63" s="379"/>
      <c r="B63" s="380"/>
      <c r="C63" s="381"/>
      <c r="D63" s="381"/>
      <c r="E63" s="381"/>
      <c r="F63" s="382"/>
    </row>
    <row r="64" ht="14.25" customHeight="1">
      <c r="A64" s="379"/>
      <c r="B64" s="380"/>
      <c r="C64" s="381"/>
      <c r="D64" s="381"/>
      <c r="E64" s="381"/>
      <c r="F64" s="382"/>
    </row>
    <row r="65" ht="14.25" customHeight="1">
      <c r="A65" s="379"/>
      <c r="B65" s="380"/>
      <c r="C65" s="381"/>
      <c r="D65" s="381"/>
      <c r="E65" s="381"/>
      <c r="F65" s="382"/>
    </row>
    <row r="66" ht="14.25" customHeight="1">
      <c r="A66" s="379"/>
      <c r="B66" s="380"/>
      <c r="C66" s="381"/>
      <c r="D66" s="381"/>
      <c r="E66" s="381"/>
      <c r="F66" s="382"/>
    </row>
    <row r="67" ht="14.25" customHeight="1">
      <c r="A67" s="379"/>
      <c r="B67" s="380"/>
      <c r="C67" s="381"/>
      <c r="D67" s="381"/>
      <c r="E67" s="381"/>
      <c r="F67" s="382"/>
    </row>
    <row r="68" ht="14.25" customHeight="1">
      <c r="A68" s="379"/>
      <c r="B68" s="380"/>
      <c r="C68" s="381"/>
      <c r="D68" s="381"/>
      <c r="E68" s="381"/>
      <c r="F68" s="382"/>
    </row>
    <row r="69" ht="12.75" customHeight="1">
      <c r="A69" s="383"/>
      <c r="B69" s="384"/>
      <c r="C69" s="385"/>
      <c r="D69" s="385"/>
      <c r="E69" s="385"/>
      <c r="F69" s="386"/>
    </row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3">
    <mergeCell ref="J1:M1"/>
    <mergeCell ref="D2:E2"/>
    <mergeCell ref="D3:E3"/>
    <mergeCell ref="D4:E4"/>
    <mergeCell ref="D6:E6"/>
    <mergeCell ref="D7:E7"/>
    <mergeCell ref="D8:E8"/>
    <mergeCell ref="D10:E10"/>
    <mergeCell ref="D11:E11"/>
    <mergeCell ref="D12:E12"/>
    <mergeCell ref="D14:E14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65:B65"/>
    <mergeCell ref="A66:B66"/>
    <mergeCell ref="A67:B67"/>
    <mergeCell ref="A68:B68"/>
    <mergeCell ref="A69:B69"/>
    <mergeCell ref="A58:B58"/>
    <mergeCell ref="A59:B59"/>
    <mergeCell ref="A60:B60"/>
    <mergeCell ref="A61:B61"/>
    <mergeCell ref="A62:B62"/>
    <mergeCell ref="A63:B63"/>
    <mergeCell ref="A64:B64"/>
  </mergeCells>
  <conditionalFormatting sqref="K19:K45">
    <cfRule type="cellIs" dxfId="1" priority="1" operator="greaterThan">
      <formula>$B$3</formula>
    </cfRule>
  </conditionalFormatting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25"/>
    <col customWidth="1" min="2" max="2" width="20.13"/>
    <col customWidth="1" min="3" max="3" width="15.0"/>
    <col customWidth="1" min="4" max="4" width="15.63"/>
    <col customWidth="1" min="5" max="5" width="24.13"/>
    <col customWidth="1" min="6" max="6" width="18.25"/>
    <col customWidth="1" min="7" max="7" width="16.63"/>
    <col customWidth="1" min="8" max="8" width="22.0"/>
    <col customWidth="1" min="9" max="12" width="15.75"/>
    <col customWidth="1" min="13" max="13" width="12.0"/>
    <col customWidth="1" min="14" max="26" width="8.63"/>
  </cols>
  <sheetData>
    <row r="1" ht="12.75" customHeight="1">
      <c r="A1" s="310" t="s">
        <v>191</v>
      </c>
      <c r="J1" s="389" t="s">
        <v>118</v>
      </c>
      <c r="K1" s="169"/>
      <c r="L1" s="169"/>
      <c r="M1" s="108"/>
    </row>
    <row r="2" ht="12.75" customHeight="1">
      <c r="D2" s="312" t="s">
        <v>119</v>
      </c>
      <c r="E2" s="167"/>
      <c r="F2" s="345">
        <f>'Input Data'!J12</f>
        <v>8500</v>
      </c>
      <c r="G2" s="346"/>
      <c r="H2" s="315" t="s">
        <v>187</v>
      </c>
      <c r="J2" s="316" t="s">
        <v>115</v>
      </c>
      <c r="K2" s="317" t="s">
        <v>87</v>
      </c>
      <c r="L2" s="317" t="s">
        <v>88</v>
      </c>
      <c r="M2" s="318" t="s">
        <v>86</v>
      </c>
    </row>
    <row r="3" ht="12.75" customHeight="1">
      <c r="A3" s="319" t="s">
        <v>121</v>
      </c>
      <c r="B3" s="320">
        <f>'Sales Goals'!I14</f>
        <v>267666.3031</v>
      </c>
      <c r="D3" s="321" t="s">
        <v>122</v>
      </c>
      <c r="E3" s="172"/>
      <c r="F3" s="348">
        <f>B3*B9</f>
        <v>171306.434</v>
      </c>
      <c r="G3" s="349" t="s">
        <v>123</v>
      </c>
      <c r="H3" s="324">
        <f>'Input Data'!J13</f>
        <v>0.5</v>
      </c>
      <c r="I3" s="3"/>
      <c r="J3" s="325"/>
      <c r="K3" s="326"/>
      <c r="L3" s="326"/>
      <c r="M3" s="327"/>
    </row>
    <row r="4" ht="12.75" customHeight="1">
      <c r="B4" s="36"/>
      <c r="D4" s="328" t="s">
        <v>124</v>
      </c>
      <c r="E4" s="108"/>
      <c r="F4" s="387">
        <f>F3/F2</f>
        <v>20.15369812</v>
      </c>
      <c r="G4" s="330"/>
      <c r="H4" s="331">
        <f>F4/H3</f>
        <v>40.30739624</v>
      </c>
      <c r="I4" s="3"/>
      <c r="J4" s="325">
        <f>H4/'Input Data'!G30</f>
        <v>0.7328617498</v>
      </c>
      <c r="K4" s="326"/>
      <c r="L4" s="326"/>
      <c r="M4" s="327">
        <f>F4/'Input Data'!G34</f>
        <v>0.9160771872</v>
      </c>
    </row>
    <row r="5" ht="12.75" customHeight="1">
      <c r="A5" s="332" t="s">
        <v>125</v>
      </c>
      <c r="B5" s="320">
        <f>((B3/31)*7)/'Break-even'!C25</f>
        <v>12088.15563</v>
      </c>
      <c r="F5" s="36"/>
      <c r="G5" s="36"/>
      <c r="H5" s="36"/>
      <c r="J5" s="325"/>
      <c r="K5" s="326"/>
      <c r="L5" s="326"/>
      <c r="M5" s="327"/>
    </row>
    <row r="6" ht="12.75" customHeight="1">
      <c r="B6" s="36"/>
      <c r="D6" s="312" t="s">
        <v>126</v>
      </c>
      <c r="E6" s="167"/>
      <c r="F6" s="345">
        <f>'Input Data'!J16</f>
        <v>425</v>
      </c>
      <c r="G6" s="346"/>
      <c r="H6" s="333" t="s">
        <v>127</v>
      </c>
      <c r="J6" s="334"/>
      <c r="K6" s="326"/>
      <c r="L6" s="326"/>
      <c r="M6" s="327"/>
    </row>
    <row r="7" ht="12.75" customHeight="1">
      <c r="A7" s="335" t="s">
        <v>35</v>
      </c>
      <c r="B7" s="320">
        <f>Budget!C36</f>
        <v>4885.054388</v>
      </c>
      <c r="D7" s="321" t="s">
        <v>128</v>
      </c>
      <c r="E7" s="172"/>
      <c r="F7" s="348">
        <f>B3*B11</f>
        <v>32119.95638</v>
      </c>
      <c r="G7" s="349" t="s">
        <v>123</v>
      </c>
      <c r="H7" s="324">
        <f>'Input Data'!J17</f>
        <v>1</v>
      </c>
      <c r="J7" s="325"/>
      <c r="K7" s="336"/>
      <c r="L7" s="326"/>
      <c r="M7" s="327"/>
    </row>
    <row r="8" ht="12.75" customHeight="1">
      <c r="B8" s="36"/>
      <c r="D8" s="328" t="s">
        <v>129</v>
      </c>
      <c r="E8" s="108"/>
      <c r="F8" s="351">
        <f>F7/F6</f>
        <v>75.57636795</v>
      </c>
      <c r="G8" s="330"/>
      <c r="H8" s="338">
        <f> F8/H7</f>
        <v>75.57636795</v>
      </c>
      <c r="J8" s="325"/>
      <c r="K8" s="326">
        <f>H8/'Input Data'!G31</f>
        <v>1.145096484</v>
      </c>
      <c r="L8" s="326"/>
      <c r="M8" s="327"/>
    </row>
    <row r="9" ht="12.75" customHeight="1">
      <c r="A9" s="339" t="s">
        <v>130</v>
      </c>
      <c r="B9" s="340">
        <f>'Input Data'!J6</f>
        <v>0.64</v>
      </c>
      <c r="F9" s="36"/>
      <c r="G9" s="36"/>
      <c r="H9" s="36"/>
      <c r="J9" s="325"/>
      <c r="K9" s="326"/>
      <c r="L9" s="326"/>
      <c r="M9" s="327"/>
    </row>
    <row r="10" ht="12.75" customHeight="1">
      <c r="B10" s="36"/>
      <c r="D10" s="312" t="s">
        <v>131</v>
      </c>
      <c r="E10" s="167"/>
      <c r="F10" s="345">
        <f>'Input Data'!J20</f>
        <v>200</v>
      </c>
      <c r="G10" s="346"/>
      <c r="H10" s="333" t="s">
        <v>127</v>
      </c>
      <c r="J10" s="325"/>
      <c r="K10" s="326"/>
      <c r="L10" s="326"/>
      <c r="M10" s="327"/>
    </row>
    <row r="11" ht="12.75" customHeight="1">
      <c r="A11" s="339" t="s">
        <v>132</v>
      </c>
      <c r="B11" s="340">
        <f>'Input Data'!J7</f>
        <v>0.12</v>
      </c>
      <c r="D11" s="321" t="s">
        <v>133</v>
      </c>
      <c r="E11" s="172"/>
      <c r="F11" s="348">
        <f>B3*B13</f>
        <v>16059.97819</v>
      </c>
      <c r="G11" s="349" t="s">
        <v>123</v>
      </c>
      <c r="H11" s="324">
        <f>'Input Data'!J21</f>
        <v>1</v>
      </c>
      <c r="J11" s="325"/>
      <c r="K11" s="326"/>
      <c r="L11" s="326"/>
      <c r="M11" s="327"/>
    </row>
    <row r="12" ht="12.75" customHeight="1">
      <c r="A12" s="278"/>
      <c r="B12" s="342"/>
      <c r="D12" s="328" t="s">
        <v>134</v>
      </c>
      <c r="E12" s="169"/>
      <c r="F12" s="351">
        <f>F11/F10</f>
        <v>80.29989094</v>
      </c>
      <c r="G12" s="330"/>
      <c r="H12" s="338">
        <f> F12/H11</f>
        <v>80.29989094</v>
      </c>
      <c r="J12" s="325"/>
      <c r="K12" s="326">
        <f>H12/'Input Data'!G32</f>
        <v>0.858822363</v>
      </c>
      <c r="L12" s="326"/>
      <c r="M12" s="327"/>
    </row>
    <row r="13" ht="12.75" customHeight="1">
      <c r="A13" s="328" t="s">
        <v>135</v>
      </c>
      <c r="B13" s="340">
        <f>'Input Data'!J8</f>
        <v>0.06</v>
      </c>
      <c r="J13" s="325"/>
      <c r="K13" s="326"/>
      <c r="L13" s="326"/>
      <c r="M13" s="327"/>
    </row>
    <row r="14" ht="12.75" customHeight="1">
      <c r="D14" s="312" t="s">
        <v>136</v>
      </c>
      <c r="E14" s="79"/>
      <c r="F14" s="345">
        <f>'Input Data'!J24</f>
        <v>750</v>
      </c>
      <c r="G14" s="346"/>
      <c r="H14" s="333" t="s">
        <v>127</v>
      </c>
      <c r="J14" s="325"/>
      <c r="K14" s="326"/>
      <c r="L14" s="326"/>
      <c r="M14" s="327"/>
    </row>
    <row r="15" ht="12.75" customHeight="1">
      <c r="A15" s="328" t="s">
        <v>137</v>
      </c>
      <c r="B15" s="324">
        <f>'Input Data'!J9</f>
        <v>0.18</v>
      </c>
      <c r="D15" s="347" t="s">
        <v>128</v>
      </c>
      <c r="E15" s="165"/>
      <c r="F15" s="348">
        <f>B3*B15</f>
        <v>48179.93457</v>
      </c>
      <c r="G15" s="349" t="s">
        <v>123</v>
      </c>
      <c r="H15" s="324">
        <f>'Input Data'!J25</f>
        <v>1</v>
      </c>
      <c r="J15" s="325"/>
      <c r="K15" s="326"/>
      <c r="L15" s="326"/>
      <c r="M15" s="327"/>
    </row>
    <row r="16" ht="12.75" customHeight="1">
      <c r="D16" s="328" t="s">
        <v>138</v>
      </c>
      <c r="E16" s="350"/>
      <c r="F16" s="351">
        <f>F15/F14</f>
        <v>64.23991275</v>
      </c>
      <c r="G16" s="330"/>
      <c r="H16" s="338">
        <f> F16/H15</f>
        <v>64.23991275</v>
      </c>
      <c r="J16" s="352"/>
      <c r="K16" s="388"/>
      <c r="L16" s="353" t="str">
        <f>H16/'Input Data'!G33</f>
        <v>#DIV/0!</v>
      </c>
      <c r="M16" s="354"/>
    </row>
    <row r="17" ht="12.75" customHeight="1"/>
    <row r="18" ht="12.75" customHeight="1">
      <c r="B18" s="355" t="s">
        <v>139</v>
      </c>
      <c r="C18" s="356" t="s">
        <v>140</v>
      </c>
      <c r="D18" s="356" t="s">
        <v>141</v>
      </c>
      <c r="E18" s="357" t="s">
        <v>184</v>
      </c>
      <c r="F18" s="356" t="s">
        <v>143</v>
      </c>
      <c r="G18" s="356" t="s">
        <v>185</v>
      </c>
      <c r="H18" s="356" t="s">
        <v>145</v>
      </c>
      <c r="I18" s="356" t="s">
        <v>146</v>
      </c>
      <c r="J18" s="356" t="s">
        <v>147</v>
      </c>
      <c r="K18" s="356" t="s">
        <v>148</v>
      </c>
      <c r="L18" s="356" t="s">
        <v>149</v>
      </c>
    </row>
    <row r="19" ht="12.75" customHeight="1">
      <c r="A19" s="36" t="s">
        <v>150</v>
      </c>
      <c r="B19" s="358">
        <f t="shared" ref="B19:B45" si="2">$B$5*$B$11</f>
        <v>1450.578675</v>
      </c>
      <c r="C19" s="305">
        <v>0.0</v>
      </c>
      <c r="D19" s="359">
        <f t="shared" ref="D19:D45" si="3">$B$5*$B$9</f>
        <v>7736.419601</v>
      </c>
      <c r="E19" s="305">
        <v>0.0</v>
      </c>
      <c r="F19" s="359">
        <f t="shared" ref="F19:F45" si="4">$B$5*$B$13</f>
        <v>725.2893375</v>
      </c>
      <c r="G19" s="305">
        <v>0.0</v>
      </c>
      <c r="H19" s="359">
        <f t="shared" ref="H19:H45" si="5">$B$5*$B$15</f>
        <v>2175.868013</v>
      </c>
      <c r="I19" s="305">
        <v>0.0</v>
      </c>
      <c r="J19" s="359">
        <f t="shared" ref="J19:K19" si="1">B19+D19+F19+H19</f>
        <v>12088.15563</v>
      </c>
      <c r="K19" s="360">
        <f t="shared" si="1"/>
        <v>0</v>
      </c>
      <c r="L19" s="361">
        <f t="shared" ref="L19:L45" si="7">J19-K19</f>
        <v>12088.15563</v>
      </c>
    </row>
    <row r="20" ht="12.75" customHeight="1">
      <c r="A20" s="36" t="s">
        <v>151</v>
      </c>
      <c r="B20" s="362">
        <f t="shared" si="2"/>
        <v>1450.578675</v>
      </c>
      <c r="C20" s="363">
        <v>0.0</v>
      </c>
      <c r="D20" s="364">
        <f t="shared" si="3"/>
        <v>7736.419601</v>
      </c>
      <c r="E20" s="363">
        <v>0.0</v>
      </c>
      <c r="F20" s="364">
        <f t="shared" si="4"/>
        <v>725.2893375</v>
      </c>
      <c r="G20" s="363">
        <v>0.0</v>
      </c>
      <c r="H20" s="364">
        <f t="shared" si="5"/>
        <v>2175.868013</v>
      </c>
      <c r="I20" s="363">
        <v>0.0</v>
      </c>
      <c r="J20" s="364">
        <f t="shared" ref="J20:K20" si="6">J19+B20+D20+F20+H20</f>
        <v>24176.31125</v>
      </c>
      <c r="K20" s="364">
        <f t="shared" si="6"/>
        <v>0</v>
      </c>
      <c r="L20" s="365">
        <f t="shared" si="7"/>
        <v>24176.31125</v>
      </c>
    </row>
    <row r="21" ht="12.75" customHeight="1">
      <c r="A21" s="36" t="s">
        <v>152</v>
      </c>
      <c r="B21" s="362">
        <f t="shared" si="2"/>
        <v>1450.578675</v>
      </c>
      <c r="C21" s="363">
        <v>0.0</v>
      </c>
      <c r="D21" s="364">
        <f t="shared" si="3"/>
        <v>7736.419601</v>
      </c>
      <c r="E21" s="363">
        <v>0.0</v>
      </c>
      <c r="F21" s="364">
        <f t="shared" si="4"/>
        <v>725.2893375</v>
      </c>
      <c r="G21" s="363">
        <v>0.0</v>
      </c>
      <c r="H21" s="364">
        <f t="shared" si="5"/>
        <v>2175.868013</v>
      </c>
      <c r="I21" s="363">
        <v>0.0</v>
      </c>
      <c r="J21" s="364">
        <f t="shared" ref="J21:K21" si="8">J20+B21+D21+F21+H21</f>
        <v>36264.46688</v>
      </c>
      <c r="K21" s="364">
        <f t="shared" si="8"/>
        <v>0</v>
      </c>
      <c r="L21" s="365">
        <f t="shared" si="7"/>
        <v>36264.46688</v>
      </c>
    </row>
    <row r="22" ht="12.75" customHeight="1">
      <c r="A22" s="36" t="s">
        <v>153</v>
      </c>
      <c r="B22" s="362">
        <f t="shared" si="2"/>
        <v>1450.578675</v>
      </c>
      <c r="C22" s="363">
        <v>0.0</v>
      </c>
      <c r="D22" s="364">
        <f t="shared" si="3"/>
        <v>7736.419601</v>
      </c>
      <c r="E22" s="363">
        <v>0.0</v>
      </c>
      <c r="F22" s="364">
        <f t="shared" si="4"/>
        <v>725.2893375</v>
      </c>
      <c r="G22" s="363">
        <v>0.0</v>
      </c>
      <c r="H22" s="364">
        <f t="shared" si="5"/>
        <v>2175.868013</v>
      </c>
      <c r="I22" s="363">
        <v>0.0</v>
      </c>
      <c r="J22" s="364">
        <f t="shared" ref="J22:K22" si="9">J21+B22+D22+F22+H22</f>
        <v>48352.6225</v>
      </c>
      <c r="K22" s="364">
        <f t="shared" si="9"/>
        <v>0</v>
      </c>
      <c r="L22" s="365">
        <f t="shared" si="7"/>
        <v>48352.6225</v>
      </c>
    </row>
    <row r="23" ht="12.75" customHeight="1">
      <c r="A23" s="36" t="s">
        <v>154</v>
      </c>
      <c r="B23" s="362">
        <f t="shared" si="2"/>
        <v>1450.578675</v>
      </c>
      <c r="C23" s="363">
        <v>0.0</v>
      </c>
      <c r="D23" s="364">
        <f t="shared" si="3"/>
        <v>7736.419601</v>
      </c>
      <c r="E23" s="363">
        <v>0.0</v>
      </c>
      <c r="F23" s="364">
        <f t="shared" si="4"/>
        <v>725.2893375</v>
      </c>
      <c r="G23" s="363">
        <v>0.0</v>
      </c>
      <c r="H23" s="364">
        <f t="shared" si="5"/>
        <v>2175.868013</v>
      </c>
      <c r="I23" s="363">
        <v>0.0</v>
      </c>
      <c r="J23" s="364">
        <f t="shared" ref="J23:K23" si="10">J22+B23+D23+F23+H23</f>
        <v>60440.77813</v>
      </c>
      <c r="K23" s="364">
        <f t="shared" si="10"/>
        <v>0</v>
      </c>
      <c r="L23" s="365">
        <f t="shared" si="7"/>
        <v>60440.77813</v>
      </c>
    </row>
    <row r="24" ht="12.75" customHeight="1">
      <c r="A24" s="36" t="s">
        <v>155</v>
      </c>
      <c r="B24" s="362">
        <f t="shared" si="2"/>
        <v>1450.578675</v>
      </c>
      <c r="C24" s="363">
        <v>0.0</v>
      </c>
      <c r="D24" s="364">
        <f t="shared" si="3"/>
        <v>7736.419601</v>
      </c>
      <c r="E24" s="363">
        <v>0.0</v>
      </c>
      <c r="F24" s="364">
        <f t="shared" si="4"/>
        <v>725.2893375</v>
      </c>
      <c r="G24" s="363">
        <v>0.0</v>
      </c>
      <c r="H24" s="364">
        <f t="shared" si="5"/>
        <v>2175.868013</v>
      </c>
      <c r="I24" s="363">
        <v>0.0</v>
      </c>
      <c r="J24" s="364">
        <f t="shared" ref="J24:K24" si="11">J23+B24+D24+F24+H24</f>
        <v>72528.93375</v>
      </c>
      <c r="K24" s="364">
        <f t="shared" si="11"/>
        <v>0</v>
      </c>
      <c r="L24" s="365">
        <f t="shared" si="7"/>
        <v>72528.93375</v>
      </c>
    </row>
    <row r="25" ht="12.75" customHeight="1">
      <c r="A25" s="36" t="s">
        <v>156</v>
      </c>
      <c r="B25" s="362">
        <f t="shared" si="2"/>
        <v>1450.578675</v>
      </c>
      <c r="C25" s="363">
        <v>0.0</v>
      </c>
      <c r="D25" s="364">
        <f t="shared" si="3"/>
        <v>7736.419601</v>
      </c>
      <c r="E25" s="363">
        <v>0.0</v>
      </c>
      <c r="F25" s="364">
        <f t="shared" si="4"/>
        <v>725.2893375</v>
      </c>
      <c r="G25" s="363">
        <v>0.0</v>
      </c>
      <c r="H25" s="364">
        <f t="shared" si="5"/>
        <v>2175.868013</v>
      </c>
      <c r="I25" s="363">
        <v>0.0</v>
      </c>
      <c r="J25" s="364">
        <f t="shared" ref="J25:K25" si="12">J24+B25+D25+F25+H25</f>
        <v>84617.08938</v>
      </c>
      <c r="K25" s="364">
        <f t="shared" si="12"/>
        <v>0</v>
      </c>
      <c r="L25" s="365">
        <f t="shared" si="7"/>
        <v>84617.08938</v>
      </c>
    </row>
    <row r="26" ht="12.75" customHeight="1">
      <c r="A26" s="36" t="s">
        <v>157</v>
      </c>
      <c r="B26" s="362">
        <f t="shared" si="2"/>
        <v>1450.578675</v>
      </c>
      <c r="C26" s="363">
        <v>0.0</v>
      </c>
      <c r="D26" s="364">
        <f t="shared" si="3"/>
        <v>7736.419601</v>
      </c>
      <c r="E26" s="363">
        <v>0.0</v>
      </c>
      <c r="F26" s="364">
        <f t="shared" si="4"/>
        <v>725.2893375</v>
      </c>
      <c r="G26" s="363">
        <v>0.0</v>
      </c>
      <c r="H26" s="364">
        <f t="shared" si="5"/>
        <v>2175.868013</v>
      </c>
      <c r="I26" s="363">
        <v>0.0</v>
      </c>
      <c r="J26" s="364">
        <f t="shared" ref="J26:K26" si="13">J25+B26+D26+F26+H26</f>
        <v>96705.24501</v>
      </c>
      <c r="K26" s="364">
        <f t="shared" si="13"/>
        <v>0</v>
      </c>
      <c r="L26" s="365">
        <f t="shared" si="7"/>
        <v>96705.24501</v>
      </c>
    </row>
    <row r="27" ht="12.75" customHeight="1">
      <c r="A27" s="36" t="s">
        <v>158</v>
      </c>
      <c r="B27" s="362">
        <f t="shared" si="2"/>
        <v>1450.578675</v>
      </c>
      <c r="C27" s="363">
        <v>0.0</v>
      </c>
      <c r="D27" s="364">
        <f t="shared" si="3"/>
        <v>7736.419601</v>
      </c>
      <c r="E27" s="363">
        <v>0.0</v>
      </c>
      <c r="F27" s="364">
        <f t="shared" si="4"/>
        <v>725.2893375</v>
      </c>
      <c r="G27" s="363">
        <v>0.0</v>
      </c>
      <c r="H27" s="364">
        <f t="shared" si="5"/>
        <v>2175.868013</v>
      </c>
      <c r="I27" s="363">
        <v>0.0</v>
      </c>
      <c r="J27" s="364">
        <f t="shared" ref="J27:K27" si="14">J26+B27+D27+F27+H27</f>
        <v>108793.4006</v>
      </c>
      <c r="K27" s="364">
        <f t="shared" si="14"/>
        <v>0</v>
      </c>
      <c r="L27" s="365">
        <f t="shared" si="7"/>
        <v>108793.4006</v>
      </c>
    </row>
    <row r="28" ht="12.75" customHeight="1">
      <c r="A28" s="36" t="s">
        <v>159</v>
      </c>
      <c r="B28" s="362">
        <f t="shared" si="2"/>
        <v>1450.578675</v>
      </c>
      <c r="C28" s="363">
        <v>0.0</v>
      </c>
      <c r="D28" s="364">
        <f t="shared" si="3"/>
        <v>7736.419601</v>
      </c>
      <c r="E28" s="363">
        <v>0.0</v>
      </c>
      <c r="F28" s="364">
        <f t="shared" si="4"/>
        <v>725.2893375</v>
      </c>
      <c r="G28" s="363">
        <v>0.0</v>
      </c>
      <c r="H28" s="364">
        <f t="shared" si="5"/>
        <v>2175.868013</v>
      </c>
      <c r="I28" s="363">
        <v>0.0</v>
      </c>
      <c r="J28" s="364">
        <f t="shared" ref="J28:K28" si="15">J27+B28+D28+F28+H28</f>
        <v>120881.5563</v>
      </c>
      <c r="K28" s="364">
        <f t="shared" si="15"/>
        <v>0</v>
      </c>
      <c r="L28" s="365">
        <f t="shared" si="7"/>
        <v>120881.5563</v>
      </c>
    </row>
    <row r="29" ht="12.75" customHeight="1">
      <c r="A29" s="36" t="s">
        <v>160</v>
      </c>
      <c r="B29" s="362">
        <f t="shared" si="2"/>
        <v>1450.578675</v>
      </c>
      <c r="C29" s="363">
        <v>0.0</v>
      </c>
      <c r="D29" s="364">
        <f t="shared" si="3"/>
        <v>7736.419601</v>
      </c>
      <c r="E29" s="363">
        <v>0.0</v>
      </c>
      <c r="F29" s="364">
        <f t="shared" si="4"/>
        <v>725.2893375</v>
      </c>
      <c r="G29" s="363">
        <v>0.0</v>
      </c>
      <c r="H29" s="364">
        <f t="shared" si="5"/>
        <v>2175.868013</v>
      </c>
      <c r="I29" s="363">
        <v>0.0</v>
      </c>
      <c r="J29" s="364">
        <f t="shared" ref="J29:K29" si="16">J28+B29+D29+F29+H29</f>
        <v>132969.7119</v>
      </c>
      <c r="K29" s="364">
        <f t="shared" si="16"/>
        <v>0</v>
      </c>
      <c r="L29" s="365">
        <f t="shared" si="7"/>
        <v>132969.7119</v>
      </c>
    </row>
    <row r="30" ht="12.75" customHeight="1">
      <c r="A30" s="36" t="s">
        <v>161</v>
      </c>
      <c r="B30" s="362">
        <f t="shared" si="2"/>
        <v>1450.578675</v>
      </c>
      <c r="C30" s="363">
        <v>0.0</v>
      </c>
      <c r="D30" s="364">
        <f t="shared" si="3"/>
        <v>7736.419601</v>
      </c>
      <c r="E30" s="363">
        <v>0.0</v>
      </c>
      <c r="F30" s="364">
        <f t="shared" si="4"/>
        <v>725.2893375</v>
      </c>
      <c r="G30" s="363">
        <v>0.0</v>
      </c>
      <c r="H30" s="364">
        <f t="shared" si="5"/>
        <v>2175.868013</v>
      </c>
      <c r="I30" s="363">
        <v>0.0</v>
      </c>
      <c r="J30" s="364">
        <f t="shared" ref="J30:K30" si="17">J29+B30+D30+F30+H30</f>
        <v>145057.8675</v>
      </c>
      <c r="K30" s="364">
        <f t="shared" si="17"/>
        <v>0</v>
      </c>
      <c r="L30" s="365">
        <f t="shared" si="7"/>
        <v>145057.8675</v>
      </c>
    </row>
    <row r="31" ht="12.75" customHeight="1">
      <c r="A31" s="36" t="s">
        <v>162</v>
      </c>
      <c r="B31" s="362">
        <f t="shared" si="2"/>
        <v>1450.578675</v>
      </c>
      <c r="C31" s="363">
        <v>0.0</v>
      </c>
      <c r="D31" s="364">
        <f t="shared" si="3"/>
        <v>7736.419601</v>
      </c>
      <c r="E31" s="363">
        <v>0.0</v>
      </c>
      <c r="F31" s="364">
        <f t="shared" si="4"/>
        <v>725.2893375</v>
      </c>
      <c r="G31" s="363">
        <v>0.0</v>
      </c>
      <c r="H31" s="364">
        <f t="shared" si="5"/>
        <v>2175.868013</v>
      </c>
      <c r="I31" s="363">
        <v>0.0</v>
      </c>
      <c r="J31" s="364">
        <f t="shared" ref="J31:K31" si="18">J30+B31+D31+F31+H31</f>
        <v>157146.0231</v>
      </c>
      <c r="K31" s="364">
        <f t="shared" si="18"/>
        <v>0</v>
      </c>
      <c r="L31" s="365">
        <f t="shared" si="7"/>
        <v>157146.0231</v>
      </c>
    </row>
    <row r="32" ht="12.75" customHeight="1">
      <c r="A32" s="36" t="s">
        <v>163</v>
      </c>
      <c r="B32" s="362">
        <f t="shared" si="2"/>
        <v>1450.578675</v>
      </c>
      <c r="C32" s="363">
        <v>0.0</v>
      </c>
      <c r="D32" s="364">
        <f t="shared" si="3"/>
        <v>7736.419601</v>
      </c>
      <c r="E32" s="363">
        <v>0.0</v>
      </c>
      <c r="F32" s="364">
        <f t="shared" si="4"/>
        <v>725.2893375</v>
      </c>
      <c r="G32" s="363">
        <v>0.0</v>
      </c>
      <c r="H32" s="364">
        <f t="shared" si="5"/>
        <v>2175.868013</v>
      </c>
      <c r="I32" s="363">
        <v>0.0</v>
      </c>
      <c r="J32" s="364">
        <f t="shared" ref="J32:K32" si="19">J31+B32+D32+F32+H32</f>
        <v>169234.1788</v>
      </c>
      <c r="K32" s="364">
        <f t="shared" si="19"/>
        <v>0</v>
      </c>
      <c r="L32" s="365">
        <f t="shared" si="7"/>
        <v>169234.1788</v>
      </c>
    </row>
    <row r="33" ht="12.75" customHeight="1">
      <c r="A33" s="36" t="s">
        <v>164</v>
      </c>
      <c r="B33" s="362">
        <f t="shared" si="2"/>
        <v>1450.578675</v>
      </c>
      <c r="C33" s="363">
        <v>0.0</v>
      </c>
      <c r="D33" s="364">
        <f t="shared" si="3"/>
        <v>7736.419601</v>
      </c>
      <c r="E33" s="363">
        <v>0.0</v>
      </c>
      <c r="F33" s="364">
        <f t="shared" si="4"/>
        <v>725.2893375</v>
      </c>
      <c r="G33" s="363">
        <v>0.0</v>
      </c>
      <c r="H33" s="364">
        <f t="shared" si="5"/>
        <v>2175.868013</v>
      </c>
      <c r="I33" s="363">
        <v>0.0</v>
      </c>
      <c r="J33" s="364">
        <f t="shared" ref="J33:K33" si="20">J32+B33+D33+F33+H33</f>
        <v>181322.3344</v>
      </c>
      <c r="K33" s="364">
        <f t="shared" si="20"/>
        <v>0</v>
      </c>
      <c r="L33" s="365">
        <f t="shared" si="7"/>
        <v>181322.3344</v>
      </c>
    </row>
    <row r="34" ht="12.75" customHeight="1">
      <c r="A34" s="36" t="s">
        <v>165</v>
      </c>
      <c r="B34" s="362">
        <f t="shared" si="2"/>
        <v>1450.578675</v>
      </c>
      <c r="C34" s="363">
        <v>0.0</v>
      </c>
      <c r="D34" s="364">
        <f t="shared" si="3"/>
        <v>7736.419601</v>
      </c>
      <c r="E34" s="363">
        <v>0.0</v>
      </c>
      <c r="F34" s="364">
        <f t="shared" si="4"/>
        <v>725.2893375</v>
      </c>
      <c r="G34" s="363">
        <v>0.0</v>
      </c>
      <c r="H34" s="364">
        <f t="shared" si="5"/>
        <v>2175.868013</v>
      </c>
      <c r="I34" s="363">
        <v>0.0</v>
      </c>
      <c r="J34" s="364">
        <f t="shared" ref="J34:K34" si="21">J33+B34+D34+F34+H34</f>
        <v>193410.49</v>
      </c>
      <c r="K34" s="364">
        <f t="shared" si="21"/>
        <v>0</v>
      </c>
      <c r="L34" s="365">
        <f t="shared" si="7"/>
        <v>193410.49</v>
      </c>
    </row>
    <row r="35" ht="12.75" customHeight="1">
      <c r="A35" s="36" t="s">
        <v>166</v>
      </c>
      <c r="B35" s="362">
        <f t="shared" si="2"/>
        <v>1450.578675</v>
      </c>
      <c r="C35" s="363">
        <v>0.0</v>
      </c>
      <c r="D35" s="364">
        <f t="shared" si="3"/>
        <v>7736.419601</v>
      </c>
      <c r="E35" s="363">
        <v>0.0</v>
      </c>
      <c r="F35" s="364">
        <f t="shared" si="4"/>
        <v>725.2893375</v>
      </c>
      <c r="G35" s="363">
        <v>0.0</v>
      </c>
      <c r="H35" s="364">
        <f t="shared" si="5"/>
        <v>2175.868013</v>
      </c>
      <c r="I35" s="363">
        <v>0.0</v>
      </c>
      <c r="J35" s="364">
        <f t="shared" ref="J35:K35" si="22">J34+B35+D35+F35+H35</f>
        <v>205498.6456</v>
      </c>
      <c r="K35" s="364">
        <f t="shared" si="22"/>
        <v>0</v>
      </c>
      <c r="L35" s="365">
        <f t="shared" si="7"/>
        <v>205498.6456</v>
      </c>
    </row>
    <row r="36" ht="12.75" customHeight="1">
      <c r="A36" s="36" t="s">
        <v>167</v>
      </c>
      <c r="B36" s="362">
        <f t="shared" si="2"/>
        <v>1450.578675</v>
      </c>
      <c r="C36" s="363">
        <v>0.0</v>
      </c>
      <c r="D36" s="364">
        <f t="shared" si="3"/>
        <v>7736.419601</v>
      </c>
      <c r="E36" s="363">
        <v>0.0</v>
      </c>
      <c r="F36" s="364">
        <f t="shared" si="4"/>
        <v>725.2893375</v>
      </c>
      <c r="G36" s="363">
        <v>0.0</v>
      </c>
      <c r="H36" s="364">
        <f t="shared" si="5"/>
        <v>2175.868013</v>
      </c>
      <c r="I36" s="363">
        <v>0.0</v>
      </c>
      <c r="J36" s="364">
        <f t="shared" ref="J36:K36" si="23">J35+B36+D36+F36+H36</f>
        <v>217586.8013</v>
      </c>
      <c r="K36" s="364">
        <f t="shared" si="23"/>
        <v>0</v>
      </c>
      <c r="L36" s="365">
        <f t="shared" si="7"/>
        <v>217586.8013</v>
      </c>
    </row>
    <row r="37" ht="12.75" customHeight="1">
      <c r="A37" s="36" t="s">
        <v>168</v>
      </c>
      <c r="B37" s="362">
        <f t="shared" si="2"/>
        <v>1450.578675</v>
      </c>
      <c r="C37" s="363">
        <v>0.0</v>
      </c>
      <c r="D37" s="364">
        <f t="shared" si="3"/>
        <v>7736.419601</v>
      </c>
      <c r="E37" s="363">
        <v>0.0</v>
      </c>
      <c r="F37" s="364">
        <f t="shared" si="4"/>
        <v>725.2893375</v>
      </c>
      <c r="G37" s="363">
        <v>0.0</v>
      </c>
      <c r="H37" s="364">
        <f t="shared" si="5"/>
        <v>2175.868013</v>
      </c>
      <c r="I37" s="363">
        <v>0.0</v>
      </c>
      <c r="J37" s="364">
        <f t="shared" ref="J37:K37" si="24">J36+B37+D37+F37+H37</f>
        <v>229674.9569</v>
      </c>
      <c r="K37" s="364">
        <f t="shared" si="24"/>
        <v>0</v>
      </c>
      <c r="L37" s="365">
        <f t="shared" si="7"/>
        <v>229674.9569</v>
      </c>
    </row>
    <row r="38" ht="12.75" customHeight="1">
      <c r="A38" s="36" t="s">
        <v>169</v>
      </c>
      <c r="B38" s="362">
        <f t="shared" si="2"/>
        <v>1450.578675</v>
      </c>
      <c r="C38" s="363">
        <v>0.0</v>
      </c>
      <c r="D38" s="364">
        <f t="shared" si="3"/>
        <v>7736.419601</v>
      </c>
      <c r="E38" s="363">
        <v>0.0</v>
      </c>
      <c r="F38" s="364">
        <f t="shared" si="4"/>
        <v>725.2893375</v>
      </c>
      <c r="G38" s="363">
        <v>0.0</v>
      </c>
      <c r="H38" s="364">
        <f t="shared" si="5"/>
        <v>2175.868013</v>
      </c>
      <c r="I38" s="363">
        <v>0.0</v>
      </c>
      <c r="J38" s="364">
        <f t="shared" ref="J38:K38" si="25">J37+B38+D38+F38+H38</f>
        <v>241763.1125</v>
      </c>
      <c r="K38" s="364">
        <f t="shared" si="25"/>
        <v>0</v>
      </c>
      <c r="L38" s="365">
        <f t="shared" si="7"/>
        <v>241763.1125</v>
      </c>
    </row>
    <row r="39" ht="12.75" customHeight="1">
      <c r="A39" s="36" t="s">
        <v>170</v>
      </c>
      <c r="B39" s="362">
        <f t="shared" si="2"/>
        <v>1450.578675</v>
      </c>
      <c r="C39" s="363">
        <v>0.0</v>
      </c>
      <c r="D39" s="364">
        <f t="shared" si="3"/>
        <v>7736.419601</v>
      </c>
      <c r="E39" s="363">
        <v>0.0</v>
      </c>
      <c r="F39" s="364">
        <f t="shared" si="4"/>
        <v>725.2893375</v>
      </c>
      <c r="G39" s="363">
        <v>0.0</v>
      </c>
      <c r="H39" s="364">
        <f t="shared" si="5"/>
        <v>2175.868013</v>
      </c>
      <c r="I39" s="363">
        <v>0.0</v>
      </c>
      <c r="J39" s="364">
        <f t="shared" ref="J39:K39" si="26">J38+B39+D39+F39+H39</f>
        <v>253851.2681</v>
      </c>
      <c r="K39" s="364">
        <f t="shared" si="26"/>
        <v>0</v>
      </c>
      <c r="L39" s="365">
        <f t="shared" si="7"/>
        <v>253851.2681</v>
      </c>
    </row>
    <row r="40" ht="12.75" customHeight="1">
      <c r="A40" s="36" t="s">
        <v>171</v>
      </c>
      <c r="B40" s="362">
        <f t="shared" si="2"/>
        <v>1450.578675</v>
      </c>
      <c r="C40" s="363">
        <v>0.0</v>
      </c>
      <c r="D40" s="364">
        <f t="shared" si="3"/>
        <v>7736.419601</v>
      </c>
      <c r="E40" s="363">
        <v>0.0</v>
      </c>
      <c r="F40" s="364">
        <f t="shared" si="4"/>
        <v>725.2893375</v>
      </c>
      <c r="G40" s="363">
        <v>0.0</v>
      </c>
      <c r="H40" s="364">
        <f t="shared" si="5"/>
        <v>2175.868013</v>
      </c>
      <c r="I40" s="363">
        <v>0.0</v>
      </c>
      <c r="J40" s="364">
        <f t="shared" ref="J40:K40" si="27">J39+B40+D40+F40+H40</f>
        <v>265939.4238</v>
      </c>
      <c r="K40" s="364">
        <f t="shared" si="27"/>
        <v>0</v>
      </c>
      <c r="L40" s="365">
        <f t="shared" si="7"/>
        <v>265939.4238</v>
      </c>
    </row>
    <row r="41" ht="12.75" customHeight="1">
      <c r="A41" s="36" t="s">
        <v>172</v>
      </c>
      <c r="B41" s="362">
        <f t="shared" si="2"/>
        <v>1450.578675</v>
      </c>
      <c r="C41" s="363">
        <v>0.0</v>
      </c>
      <c r="D41" s="364">
        <f t="shared" si="3"/>
        <v>7736.419601</v>
      </c>
      <c r="E41" s="363">
        <v>0.0</v>
      </c>
      <c r="F41" s="364">
        <f t="shared" si="4"/>
        <v>725.2893375</v>
      </c>
      <c r="G41" s="363">
        <v>0.0</v>
      </c>
      <c r="H41" s="364">
        <f t="shared" si="5"/>
        <v>2175.868013</v>
      </c>
      <c r="I41" s="363">
        <v>0.0</v>
      </c>
      <c r="J41" s="364">
        <f t="shared" ref="J41:K41" si="28">J40+B41+D41+F41+H41</f>
        <v>278027.5794</v>
      </c>
      <c r="K41" s="364">
        <f t="shared" si="28"/>
        <v>0</v>
      </c>
      <c r="L41" s="365">
        <f t="shared" si="7"/>
        <v>278027.5794</v>
      </c>
    </row>
    <row r="42" ht="12.75" customHeight="1">
      <c r="A42" s="36" t="s">
        <v>173</v>
      </c>
      <c r="B42" s="362">
        <f t="shared" si="2"/>
        <v>1450.578675</v>
      </c>
      <c r="C42" s="363">
        <v>0.0</v>
      </c>
      <c r="D42" s="364">
        <f t="shared" si="3"/>
        <v>7736.419601</v>
      </c>
      <c r="E42" s="363">
        <v>0.0</v>
      </c>
      <c r="F42" s="364">
        <f t="shared" si="4"/>
        <v>725.2893375</v>
      </c>
      <c r="G42" s="363">
        <v>0.0</v>
      </c>
      <c r="H42" s="364">
        <f t="shared" si="5"/>
        <v>2175.868013</v>
      </c>
      <c r="I42" s="363">
        <v>0.0</v>
      </c>
      <c r="J42" s="364">
        <f t="shared" ref="J42:K42" si="29">J41+B42+D42+F42+H42</f>
        <v>290115.735</v>
      </c>
      <c r="K42" s="364">
        <f t="shared" si="29"/>
        <v>0</v>
      </c>
      <c r="L42" s="365">
        <f t="shared" si="7"/>
        <v>290115.735</v>
      </c>
    </row>
    <row r="43" ht="12.75" customHeight="1">
      <c r="A43" s="36" t="s">
        <v>174</v>
      </c>
      <c r="B43" s="362">
        <f t="shared" si="2"/>
        <v>1450.578675</v>
      </c>
      <c r="C43" s="363">
        <v>0.0</v>
      </c>
      <c r="D43" s="364">
        <f t="shared" si="3"/>
        <v>7736.419601</v>
      </c>
      <c r="E43" s="363">
        <v>0.0</v>
      </c>
      <c r="F43" s="364">
        <f t="shared" si="4"/>
        <v>725.2893375</v>
      </c>
      <c r="G43" s="363">
        <v>0.0</v>
      </c>
      <c r="H43" s="364">
        <f t="shared" si="5"/>
        <v>2175.868013</v>
      </c>
      <c r="I43" s="363">
        <v>0.0</v>
      </c>
      <c r="J43" s="364">
        <f t="shared" ref="J43:K43" si="30">J42+B43+D43+F43+H43</f>
        <v>302203.8906</v>
      </c>
      <c r="K43" s="364">
        <f t="shared" si="30"/>
        <v>0</v>
      </c>
      <c r="L43" s="365">
        <f t="shared" si="7"/>
        <v>302203.8906</v>
      </c>
    </row>
    <row r="44" ht="12.75" customHeight="1">
      <c r="A44" s="36" t="s">
        <v>175</v>
      </c>
      <c r="B44" s="362">
        <f t="shared" si="2"/>
        <v>1450.578675</v>
      </c>
      <c r="C44" s="363">
        <v>0.0</v>
      </c>
      <c r="D44" s="364">
        <f t="shared" si="3"/>
        <v>7736.419601</v>
      </c>
      <c r="E44" s="363">
        <v>0.0</v>
      </c>
      <c r="F44" s="364">
        <f t="shared" si="4"/>
        <v>725.2893375</v>
      </c>
      <c r="G44" s="363">
        <v>0.0</v>
      </c>
      <c r="H44" s="364">
        <f t="shared" si="5"/>
        <v>2175.868013</v>
      </c>
      <c r="I44" s="363">
        <v>0.0</v>
      </c>
      <c r="J44" s="364">
        <f t="shared" ref="J44:K44" si="31">J43+B44+D44+F44+H44</f>
        <v>314292.0463</v>
      </c>
      <c r="K44" s="364">
        <f t="shared" si="31"/>
        <v>0</v>
      </c>
      <c r="L44" s="365">
        <f t="shared" si="7"/>
        <v>314292.0463</v>
      </c>
    </row>
    <row r="45" ht="12.75" customHeight="1">
      <c r="A45" s="36" t="s">
        <v>176</v>
      </c>
      <c r="B45" s="367">
        <f t="shared" si="2"/>
        <v>1450.578675</v>
      </c>
      <c r="C45" s="368">
        <v>0.0</v>
      </c>
      <c r="D45" s="369">
        <f t="shared" si="3"/>
        <v>7736.419601</v>
      </c>
      <c r="E45" s="368">
        <v>0.0</v>
      </c>
      <c r="F45" s="369">
        <f t="shared" si="4"/>
        <v>725.2893375</v>
      </c>
      <c r="G45" s="368">
        <v>0.0</v>
      </c>
      <c r="H45" s="369">
        <f t="shared" si="5"/>
        <v>2175.868013</v>
      </c>
      <c r="I45" s="368">
        <v>0.0</v>
      </c>
      <c r="J45" s="369">
        <f t="shared" ref="J45:K45" si="32">J44+B45+D45+F45+H45</f>
        <v>326380.2019</v>
      </c>
      <c r="K45" s="369">
        <f t="shared" si="32"/>
        <v>0</v>
      </c>
      <c r="L45" s="370">
        <f t="shared" si="7"/>
        <v>326380.2019</v>
      </c>
    </row>
    <row r="46" ht="12.75" customHeight="1"/>
    <row r="47" ht="12.75" customHeight="1"/>
    <row r="48" ht="12.75" customHeight="1">
      <c r="A48" s="371" t="s">
        <v>177</v>
      </c>
      <c r="B48" s="108"/>
      <c r="C48" s="372" t="s">
        <v>178</v>
      </c>
      <c r="D48" s="373" t="s">
        <v>179</v>
      </c>
      <c r="E48" s="373" t="s">
        <v>180</v>
      </c>
      <c r="F48" s="374" t="s">
        <v>181</v>
      </c>
    </row>
    <row r="49" ht="14.25" customHeight="1">
      <c r="A49" s="375"/>
      <c r="B49" s="376"/>
      <c r="C49" s="377"/>
      <c r="D49" s="377"/>
      <c r="E49" s="377"/>
      <c r="F49" s="378"/>
    </row>
    <row r="50" ht="14.25" customHeight="1">
      <c r="A50" s="379"/>
      <c r="B50" s="380"/>
      <c r="C50" s="381"/>
      <c r="D50" s="381"/>
      <c r="E50" s="381"/>
      <c r="F50" s="382"/>
    </row>
    <row r="51" ht="14.25" customHeight="1">
      <c r="A51" s="379"/>
      <c r="B51" s="380"/>
      <c r="C51" s="381"/>
      <c r="D51" s="381"/>
      <c r="E51" s="381"/>
      <c r="F51" s="382"/>
    </row>
    <row r="52" ht="14.25" customHeight="1">
      <c r="A52" s="379"/>
      <c r="B52" s="380"/>
      <c r="C52" s="381"/>
      <c r="D52" s="381"/>
      <c r="E52" s="381"/>
      <c r="F52" s="382"/>
    </row>
    <row r="53" ht="14.25" customHeight="1">
      <c r="A53" s="379"/>
      <c r="B53" s="380"/>
      <c r="C53" s="381"/>
      <c r="D53" s="381"/>
      <c r="E53" s="381"/>
      <c r="F53" s="382"/>
    </row>
    <row r="54" ht="14.25" customHeight="1">
      <c r="A54" s="379"/>
      <c r="B54" s="380"/>
      <c r="C54" s="381"/>
      <c r="D54" s="381"/>
      <c r="E54" s="381"/>
      <c r="F54" s="382"/>
    </row>
    <row r="55" ht="14.25" customHeight="1">
      <c r="A55" s="379"/>
      <c r="B55" s="380"/>
      <c r="C55" s="381"/>
      <c r="D55" s="381"/>
      <c r="E55" s="381"/>
      <c r="F55" s="382"/>
    </row>
    <row r="56" ht="14.25" customHeight="1">
      <c r="A56" s="379"/>
      <c r="B56" s="380"/>
      <c r="C56" s="381"/>
      <c r="D56" s="381"/>
      <c r="E56" s="381"/>
      <c r="F56" s="382"/>
    </row>
    <row r="57" ht="14.25" customHeight="1">
      <c r="A57" s="379"/>
      <c r="B57" s="380"/>
      <c r="C57" s="381"/>
      <c r="D57" s="381"/>
      <c r="E57" s="381"/>
      <c r="F57" s="382"/>
    </row>
    <row r="58" ht="14.25" customHeight="1">
      <c r="A58" s="379"/>
      <c r="B58" s="380"/>
      <c r="C58" s="381"/>
      <c r="D58" s="381"/>
      <c r="E58" s="381"/>
      <c r="F58" s="382"/>
    </row>
    <row r="59" ht="14.25" customHeight="1">
      <c r="A59" s="379"/>
      <c r="B59" s="380"/>
      <c r="C59" s="381"/>
      <c r="D59" s="381"/>
      <c r="E59" s="381"/>
      <c r="F59" s="382"/>
    </row>
    <row r="60" ht="14.25" customHeight="1">
      <c r="A60" s="379"/>
      <c r="B60" s="380"/>
      <c r="C60" s="381"/>
      <c r="D60" s="381"/>
      <c r="E60" s="381"/>
      <c r="F60" s="382"/>
    </row>
    <row r="61" ht="14.25" customHeight="1">
      <c r="A61" s="379"/>
      <c r="B61" s="380"/>
      <c r="C61" s="381"/>
      <c r="D61" s="381"/>
      <c r="E61" s="381"/>
      <c r="F61" s="382"/>
    </row>
    <row r="62" ht="14.25" customHeight="1">
      <c r="A62" s="379"/>
      <c r="B62" s="380"/>
      <c r="C62" s="381"/>
      <c r="D62" s="381"/>
      <c r="E62" s="381"/>
      <c r="F62" s="382"/>
    </row>
    <row r="63" ht="14.25" customHeight="1">
      <c r="A63" s="379"/>
      <c r="B63" s="380"/>
      <c r="C63" s="381"/>
      <c r="D63" s="381"/>
      <c r="E63" s="381"/>
      <c r="F63" s="382"/>
    </row>
    <row r="64" ht="14.25" customHeight="1">
      <c r="A64" s="379"/>
      <c r="B64" s="380"/>
      <c r="C64" s="381"/>
      <c r="D64" s="381"/>
      <c r="E64" s="381"/>
      <c r="F64" s="382"/>
    </row>
    <row r="65" ht="14.25" customHeight="1">
      <c r="A65" s="379"/>
      <c r="B65" s="380"/>
      <c r="C65" s="381"/>
      <c r="D65" s="381"/>
      <c r="E65" s="381"/>
      <c r="F65" s="382"/>
    </row>
    <row r="66" ht="14.25" customHeight="1">
      <c r="A66" s="379"/>
      <c r="B66" s="380"/>
      <c r="C66" s="381"/>
      <c r="D66" s="381"/>
      <c r="E66" s="381"/>
      <c r="F66" s="382"/>
    </row>
    <row r="67" ht="14.25" customHeight="1">
      <c r="A67" s="379"/>
      <c r="B67" s="380"/>
      <c r="C67" s="381"/>
      <c r="D67" s="381"/>
      <c r="E67" s="381"/>
      <c r="F67" s="382"/>
    </row>
    <row r="68" ht="14.25" customHeight="1">
      <c r="A68" s="379"/>
      <c r="B68" s="380"/>
      <c r="C68" s="381"/>
      <c r="D68" s="381"/>
      <c r="E68" s="381"/>
      <c r="F68" s="382"/>
    </row>
    <row r="69" ht="12.75" customHeight="1">
      <c r="A69" s="383"/>
      <c r="B69" s="384"/>
      <c r="C69" s="385"/>
      <c r="D69" s="385"/>
      <c r="E69" s="385"/>
      <c r="F69" s="386"/>
    </row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3">
    <mergeCell ref="J1:M1"/>
    <mergeCell ref="D2:E2"/>
    <mergeCell ref="D3:E3"/>
    <mergeCell ref="D4:E4"/>
    <mergeCell ref="D6:E6"/>
    <mergeCell ref="D7:E7"/>
    <mergeCell ref="D8:E8"/>
    <mergeCell ref="D10:E10"/>
    <mergeCell ref="D11:E11"/>
    <mergeCell ref="D12:E12"/>
    <mergeCell ref="D14:E14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65:B65"/>
    <mergeCell ref="A66:B66"/>
    <mergeCell ref="A67:B67"/>
    <mergeCell ref="A68:B68"/>
    <mergeCell ref="A69:B69"/>
    <mergeCell ref="A58:B58"/>
    <mergeCell ref="A59:B59"/>
    <mergeCell ref="A60:B60"/>
    <mergeCell ref="A61:B61"/>
    <mergeCell ref="A62:B62"/>
    <mergeCell ref="A63:B63"/>
    <mergeCell ref="A64:B64"/>
  </mergeCells>
  <conditionalFormatting sqref="K19:K45">
    <cfRule type="cellIs" dxfId="1" priority="1" operator="greaterThan">
      <formula>$B$3</formula>
    </cfRule>
  </conditionalFormatting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63"/>
    <col customWidth="1" min="2" max="2" width="20.13"/>
    <col customWidth="1" min="3" max="3" width="15.0"/>
    <col customWidth="1" min="4" max="4" width="15.63"/>
    <col customWidth="1" min="5" max="5" width="26.38"/>
    <col customWidth="1" min="6" max="6" width="18.25"/>
    <col customWidth="1" min="7" max="7" width="16.63"/>
    <col customWidth="1" min="8" max="8" width="21.13"/>
    <col customWidth="1" min="9" max="12" width="13.88"/>
    <col customWidth="1" min="13" max="13" width="12.25"/>
    <col customWidth="1" min="14" max="26" width="8.63"/>
  </cols>
  <sheetData>
    <row r="1" ht="12.75" customHeight="1">
      <c r="A1" s="310" t="s">
        <v>192</v>
      </c>
      <c r="J1" s="389" t="s">
        <v>118</v>
      </c>
      <c r="K1" s="169"/>
      <c r="L1" s="169"/>
      <c r="M1" s="108"/>
    </row>
    <row r="2" ht="12.75" customHeight="1">
      <c r="D2" s="312" t="s">
        <v>119</v>
      </c>
      <c r="E2" s="167"/>
      <c r="F2" s="345">
        <f>'Input Data'!K12</f>
        <v>8500</v>
      </c>
      <c r="G2" s="346"/>
      <c r="H2" s="315" t="s">
        <v>187</v>
      </c>
      <c r="J2" s="316" t="s">
        <v>115</v>
      </c>
      <c r="K2" s="317" t="s">
        <v>87</v>
      </c>
      <c r="L2" s="317" t="s">
        <v>88</v>
      </c>
      <c r="M2" s="318" t="s">
        <v>86</v>
      </c>
    </row>
    <row r="3" ht="12.75" customHeight="1">
      <c r="A3" s="319" t="s">
        <v>121</v>
      </c>
      <c r="B3" s="320">
        <f>'Sales Goals'!I15</f>
        <v>324720.3764</v>
      </c>
      <c r="D3" s="321" t="s">
        <v>122</v>
      </c>
      <c r="E3" s="172"/>
      <c r="F3" s="348">
        <f>B3*B9</f>
        <v>207821.0409</v>
      </c>
      <c r="G3" s="349" t="s">
        <v>123</v>
      </c>
      <c r="H3" s="324">
        <f>'Input Data'!K13</f>
        <v>0.5</v>
      </c>
      <c r="I3" s="3"/>
      <c r="J3" s="325"/>
      <c r="K3" s="326"/>
      <c r="L3" s="326"/>
      <c r="M3" s="327"/>
    </row>
    <row r="4" ht="12.75" customHeight="1">
      <c r="B4" s="36"/>
      <c r="D4" s="328" t="s">
        <v>124</v>
      </c>
      <c r="E4" s="108"/>
      <c r="F4" s="387">
        <f>F3/F2</f>
        <v>24.44953422</v>
      </c>
      <c r="G4" s="330"/>
      <c r="H4" s="331">
        <f>F4/H3</f>
        <v>48.89906845</v>
      </c>
      <c r="I4" s="3"/>
      <c r="J4" s="325">
        <f>H4/'Input Data'!G30</f>
        <v>0.8890739717</v>
      </c>
      <c r="K4" s="326"/>
      <c r="L4" s="326"/>
      <c r="M4" s="327">
        <f>F4/'Input Data'!G34</f>
        <v>1.111342465</v>
      </c>
    </row>
    <row r="5" ht="12.75" customHeight="1">
      <c r="A5" s="332" t="s">
        <v>125</v>
      </c>
      <c r="B5" s="320">
        <f>((B3/31)*7)/'Break-even'!C25</f>
        <v>14664.79119</v>
      </c>
      <c r="F5" s="36"/>
      <c r="G5" s="36"/>
      <c r="H5" s="36"/>
      <c r="J5" s="325"/>
      <c r="K5" s="326"/>
      <c r="L5" s="326"/>
      <c r="M5" s="327"/>
    </row>
    <row r="6" ht="12.75" customHeight="1">
      <c r="B6" s="36"/>
      <c r="D6" s="312" t="s">
        <v>126</v>
      </c>
      <c r="E6" s="167"/>
      <c r="F6" s="345">
        <f>'Input Data'!K16</f>
        <v>375</v>
      </c>
      <c r="G6" s="346"/>
      <c r="H6" s="333" t="s">
        <v>127</v>
      </c>
      <c r="J6" s="334"/>
      <c r="K6" s="326"/>
      <c r="L6" s="326"/>
      <c r="M6" s="327"/>
    </row>
    <row r="7" ht="12.75" customHeight="1">
      <c r="A7" s="335" t="s">
        <v>35</v>
      </c>
      <c r="B7" s="320">
        <f>Budget!C36</f>
        <v>4885.054388</v>
      </c>
      <c r="D7" s="321" t="s">
        <v>128</v>
      </c>
      <c r="E7" s="172"/>
      <c r="F7" s="348">
        <f>B3*B11</f>
        <v>35719.2414</v>
      </c>
      <c r="G7" s="349" t="s">
        <v>123</v>
      </c>
      <c r="H7" s="324">
        <f>'Input Data'!K17</f>
        <v>1</v>
      </c>
      <c r="J7" s="325"/>
      <c r="K7" s="336"/>
      <c r="L7" s="326"/>
      <c r="M7" s="327"/>
    </row>
    <row r="8" ht="12.75" customHeight="1">
      <c r="B8" s="36"/>
      <c r="D8" s="328" t="s">
        <v>129</v>
      </c>
      <c r="E8" s="108"/>
      <c r="F8" s="351">
        <f>F7/F6</f>
        <v>95.25131041</v>
      </c>
      <c r="G8" s="330"/>
      <c r="H8" s="338">
        <f> F8/H7</f>
        <v>95.25131041</v>
      </c>
      <c r="J8" s="325"/>
      <c r="K8" s="326">
        <f>H8/'Input Data'!G31</f>
        <v>1.443201673</v>
      </c>
      <c r="L8" s="326"/>
      <c r="M8" s="327"/>
    </row>
    <row r="9" ht="12.75" customHeight="1">
      <c r="A9" s="339" t="s">
        <v>130</v>
      </c>
      <c r="B9" s="340">
        <f>'Input Data'!K6</f>
        <v>0.64</v>
      </c>
      <c r="F9" s="36"/>
      <c r="G9" s="36"/>
      <c r="H9" s="36"/>
      <c r="J9" s="325"/>
      <c r="K9" s="326"/>
      <c r="L9" s="326"/>
      <c r="M9" s="327"/>
    </row>
    <row r="10" ht="12.75" customHeight="1">
      <c r="B10" s="36"/>
      <c r="D10" s="312" t="s">
        <v>131</v>
      </c>
      <c r="E10" s="167"/>
      <c r="F10" s="345">
        <f>'Input Data'!K20</f>
        <v>175</v>
      </c>
      <c r="G10" s="346"/>
      <c r="H10" s="333" t="s">
        <v>127</v>
      </c>
      <c r="J10" s="325"/>
      <c r="K10" s="326"/>
      <c r="L10" s="326"/>
      <c r="M10" s="327"/>
    </row>
    <row r="11" ht="12.75" customHeight="1">
      <c r="A11" s="339" t="s">
        <v>132</v>
      </c>
      <c r="B11" s="340">
        <f>'Input Data'!K7</f>
        <v>0.11</v>
      </c>
      <c r="D11" s="321" t="s">
        <v>133</v>
      </c>
      <c r="E11" s="172"/>
      <c r="F11" s="348">
        <f>B3*B13</f>
        <v>22730.42635</v>
      </c>
      <c r="G11" s="349" t="s">
        <v>123</v>
      </c>
      <c r="H11" s="324">
        <f>'Input Data'!K21</f>
        <v>1</v>
      </c>
      <c r="J11" s="325"/>
      <c r="K11" s="326"/>
      <c r="L11" s="326"/>
      <c r="M11" s="327"/>
    </row>
    <row r="12" ht="12.75" customHeight="1">
      <c r="A12" s="278"/>
      <c r="B12" s="342"/>
      <c r="D12" s="328" t="s">
        <v>134</v>
      </c>
      <c r="E12" s="169"/>
      <c r="F12" s="351">
        <f>F11/F10</f>
        <v>129.8881506</v>
      </c>
      <c r="G12" s="330"/>
      <c r="H12" s="338">
        <f> F12/H11</f>
        <v>129.8881506</v>
      </c>
      <c r="J12" s="325"/>
      <c r="K12" s="326">
        <f>H12/'Input Data'!G32</f>
        <v>1.389178081</v>
      </c>
      <c r="L12" s="326"/>
      <c r="M12" s="327"/>
    </row>
    <row r="13" ht="12.75" customHeight="1">
      <c r="A13" s="328" t="s">
        <v>135</v>
      </c>
      <c r="B13" s="340">
        <f>'Input Data'!K8</f>
        <v>0.07</v>
      </c>
      <c r="J13" s="325"/>
      <c r="K13" s="326"/>
      <c r="L13" s="326"/>
      <c r="M13" s="327"/>
    </row>
    <row r="14" ht="12.75" customHeight="1">
      <c r="D14" s="312" t="s">
        <v>136</v>
      </c>
      <c r="E14" s="79"/>
      <c r="F14" s="345">
        <f>'Input Data'!K24</f>
        <v>750</v>
      </c>
      <c r="G14" s="346"/>
      <c r="H14" s="333" t="s">
        <v>127</v>
      </c>
      <c r="J14" s="325"/>
      <c r="K14" s="326"/>
      <c r="L14" s="326"/>
      <c r="M14" s="327"/>
    </row>
    <row r="15" ht="12.75" customHeight="1">
      <c r="A15" s="328" t="s">
        <v>137</v>
      </c>
      <c r="B15" s="324">
        <f>'Input Data'!K9</f>
        <v>0.18</v>
      </c>
      <c r="D15" s="347" t="s">
        <v>128</v>
      </c>
      <c r="E15" s="165"/>
      <c r="F15" s="348">
        <f>B3*B15</f>
        <v>58449.66775</v>
      </c>
      <c r="G15" s="349" t="s">
        <v>123</v>
      </c>
      <c r="H15" s="324">
        <f>'Input Data'!K25</f>
        <v>1</v>
      </c>
      <c r="J15" s="325"/>
      <c r="K15" s="326"/>
      <c r="L15" s="326"/>
      <c r="M15" s="327"/>
    </row>
    <row r="16" ht="12.75" customHeight="1">
      <c r="D16" s="328" t="s">
        <v>138</v>
      </c>
      <c r="E16" s="350"/>
      <c r="F16" s="351">
        <f>F15/F14</f>
        <v>77.93289034</v>
      </c>
      <c r="G16" s="330"/>
      <c r="H16" s="338">
        <f> F16/H15</f>
        <v>77.93289034</v>
      </c>
      <c r="J16" s="352"/>
      <c r="K16" s="388"/>
      <c r="L16" s="353" t="str">
        <f>H16/'Input Data'!G33</f>
        <v>#DIV/0!</v>
      </c>
      <c r="M16" s="354"/>
    </row>
    <row r="17" ht="12.75" customHeight="1"/>
    <row r="18" ht="12.75" customHeight="1">
      <c r="B18" s="355" t="s">
        <v>139</v>
      </c>
      <c r="C18" s="356" t="s">
        <v>140</v>
      </c>
      <c r="D18" s="356" t="s">
        <v>141</v>
      </c>
      <c r="E18" s="357" t="s">
        <v>184</v>
      </c>
      <c r="F18" s="356" t="s">
        <v>143</v>
      </c>
      <c r="G18" s="356" t="s">
        <v>185</v>
      </c>
      <c r="H18" s="356" t="s">
        <v>145</v>
      </c>
      <c r="I18" s="356" t="s">
        <v>146</v>
      </c>
      <c r="J18" s="356" t="s">
        <v>147</v>
      </c>
      <c r="K18" s="356" t="s">
        <v>148</v>
      </c>
      <c r="L18" s="356" t="s">
        <v>149</v>
      </c>
    </row>
    <row r="19" ht="12.75" customHeight="1">
      <c r="A19" s="36" t="s">
        <v>150</v>
      </c>
      <c r="B19" s="358">
        <f t="shared" ref="B19:B45" si="2">$B$5*$B$11</f>
        <v>1613.127031</v>
      </c>
      <c r="C19" s="305">
        <v>0.0</v>
      </c>
      <c r="D19" s="359">
        <f t="shared" ref="D19:D45" si="3">$B$5*$B$9</f>
        <v>9385.466363</v>
      </c>
      <c r="E19" s="305">
        <v>0.0</v>
      </c>
      <c r="F19" s="359">
        <f t="shared" ref="F19:F45" si="4">$B$5*$B$13</f>
        <v>1026.535383</v>
      </c>
      <c r="G19" s="305">
        <v>0.0</v>
      </c>
      <c r="H19" s="359">
        <f t="shared" ref="H19:H45" si="5">$B$5*$B$15</f>
        <v>2639.662415</v>
      </c>
      <c r="I19" s="305">
        <v>0.0</v>
      </c>
      <c r="J19" s="359">
        <f t="shared" ref="J19:K19" si="1">B19+D19+F19+H19</f>
        <v>14664.79119</v>
      </c>
      <c r="K19" s="360">
        <f t="shared" si="1"/>
        <v>0</v>
      </c>
      <c r="L19" s="361">
        <f t="shared" ref="L19:L45" si="7">J19-K19</f>
        <v>14664.79119</v>
      </c>
    </row>
    <row r="20" ht="12.75" customHeight="1">
      <c r="A20" s="36" t="s">
        <v>151</v>
      </c>
      <c r="B20" s="362">
        <f t="shared" si="2"/>
        <v>1613.127031</v>
      </c>
      <c r="C20" s="363">
        <v>0.0</v>
      </c>
      <c r="D20" s="364">
        <f t="shared" si="3"/>
        <v>9385.466363</v>
      </c>
      <c r="E20" s="363">
        <v>0.0</v>
      </c>
      <c r="F20" s="364">
        <f t="shared" si="4"/>
        <v>1026.535383</v>
      </c>
      <c r="G20" s="363">
        <v>0.0</v>
      </c>
      <c r="H20" s="364">
        <f t="shared" si="5"/>
        <v>2639.662415</v>
      </c>
      <c r="I20" s="363">
        <v>0.0</v>
      </c>
      <c r="J20" s="364">
        <f t="shared" ref="J20:K20" si="6">J19+B20+D20+F20+H20</f>
        <v>29329.58238</v>
      </c>
      <c r="K20" s="364">
        <f t="shared" si="6"/>
        <v>0</v>
      </c>
      <c r="L20" s="365">
        <f t="shared" si="7"/>
        <v>29329.58238</v>
      </c>
    </row>
    <row r="21" ht="12.75" customHeight="1">
      <c r="A21" s="36" t="s">
        <v>152</v>
      </c>
      <c r="B21" s="362">
        <f t="shared" si="2"/>
        <v>1613.127031</v>
      </c>
      <c r="C21" s="363">
        <v>0.0</v>
      </c>
      <c r="D21" s="364">
        <f t="shared" si="3"/>
        <v>9385.466363</v>
      </c>
      <c r="E21" s="363">
        <v>0.0</v>
      </c>
      <c r="F21" s="364">
        <f t="shared" si="4"/>
        <v>1026.535383</v>
      </c>
      <c r="G21" s="363">
        <v>0.0</v>
      </c>
      <c r="H21" s="364">
        <f t="shared" si="5"/>
        <v>2639.662415</v>
      </c>
      <c r="I21" s="363">
        <v>0.0</v>
      </c>
      <c r="J21" s="364">
        <f t="shared" ref="J21:K21" si="8">J20+B21+D21+F21+H21</f>
        <v>43994.37358</v>
      </c>
      <c r="K21" s="364">
        <f t="shared" si="8"/>
        <v>0</v>
      </c>
      <c r="L21" s="365">
        <f t="shared" si="7"/>
        <v>43994.37358</v>
      </c>
    </row>
    <row r="22" ht="12.75" customHeight="1">
      <c r="A22" s="36" t="s">
        <v>153</v>
      </c>
      <c r="B22" s="362">
        <f t="shared" si="2"/>
        <v>1613.127031</v>
      </c>
      <c r="C22" s="363">
        <v>0.0</v>
      </c>
      <c r="D22" s="364">
        <f t="shared" si="3"/>
        <v>9385.466363</v>
      </c>
      <c r="E22" s="363">
        <v>0.0</v>
      </c>
      <c r="F22" s="364">
        <f t="shared" si="4"/>
        <v>1026.535383</v>
      </c>
      <c r="G22" s="363">
        <v>0.0</v>
      </c>
      <c r="H22" s="364">
        <f t="shared" si="5"/>
        <v>2639.662415</v>
      </c>
      <c r="I22" s="363">
        <v>0.0</v>
      </c>
      <c r="J22" s="364">
        <f t="shared" ref="J22:K22" si="9">J21+B22+D22+F22+H22</f>
        <v>58659.16477</v>
      </c>
      <c r="K22" s="364">
        <f t="shared" si="9"/>
        <v>0</v>
      </c>
      <c r="L22" s="365">
        <f t="shared" si="7"/>
        <v>58659.16477</v>
      </c>
    </row>
    <row r="23" ht="12.75" customHeight="1">
      <c r="A23" s="36" t="s">
        <v>154</v>
      </c>
      <c r="B23" s="362">
        <f t="shared" si="2"/>
        <v>1613.127031</v>
      </c>
      <c r="C23" s="363">
        <v>0.0</v>
      </c>
      <c r="D23" s="364">
        <f t="shared" si="3"/>
        <v>9385.466363</v>
      </c>
      <c r="E23" s="363">
        <v>0.0</v>
      </c>
      <c r="F23" s="364">
        <f t="shared" si="4"/>
        <v>1026.535383</v>
      </c>
      <c r="G23" s="363">
        <v>0.0</v>
      </c>
      <c r="H23" s="364">
        <f t="shared" si="5"/>
        <v>2639.662415</v>
      </c>
      <c r="I23" s="363">
        <v>0.0</v>
      </c>
      <c r="J23" s="364">
        <f t="shared" ref="J23:K23" si="10">J22+B23+D23+F23+H23</f>
        <v>73323.95596</v>
      </c>
      <c r="K23" s="364">
        <f t="shared" si="10"/>
        <v>0</v>
      </c>
      <c r="L23" s="365">
        <f t="shared" si="7"/>
        <v>73323.95596</v>
      </c>
    </row>
    <row r="24" ht="12.75" customHeight="1">
      <c r="A24" s="36" t="s">
        <v>155</v>
      </c>
      <c r="B24" s="362">
        <f t="shared" si="2"/>
        <v>1613.127031</v>
      </c>
      <c r="C24" s="363">
        <v>0.0</v>
      </c>
      <c r="D24" s="364">
        <f t="shared" si="3"/>
        <v>9385.466363</v>
      </c>
      <c r="E24" s="363">
        <v>0.0</v>
      </c>
      <c r="F24" s="364">
        <f t="shared" si="4"/>
        <v>1026.535383</v>
      </c>
      <c r="G24" s="363">
        <v>0.0</v>
      </c>
      <c r="H24" s="364">
        <f t="shared" si="5"/>
        <v>2639.662415</v>
      </c>
      <c r="I24" s="363">
        <v>0.0</v>
      </c>
      <c r="J24" s="364">
        <f t="shared" ref="J24:K24" si="11">J23+B24+D24+F24+H24</f>
        <v>87988.74715</v>
      </c>
      <c r="K24" s="364">
        <f t="shared" si="11"/>
        <v>0</v>
      </c>
      <c r="L24" s="365">
        <f t="shared" si="7"/>
        <v>87988.74715</v>
      </c>
    </row>
    <row r="25" ht="12.75" customHeight="1">
      <c r="A25" s="36" t="s">
        <v>156</v>
      </c>
      <c r="B25" s="362">
        <f t="shared" si="2"/>
        <v>1613.127031</v>
      </c>
      <c r="C25" s="363">
        <v>0.0</v>
      </c>
      <c r="D25" s="364">
        <f t="shared" si="3"/>
        <v>9385.466363</v>
      </c>
      <c r="E25" s="363">
        <v>0.0</v>
      </c>
      <c r="F25" s="364">
        <f t="shared" si="4"/>
        <v>1026.535383</v>
      </c>
      <c r="G25" s="363">
        <v>0.0</v>
      </c>
      <c r="H25" s="364">
        <f t="shared" si="5"/>
        <v>2639.662415</v>
      </c>
      <c r="I25" s="363">
        <v>0.0</v>
      </c>
      <c r="J25" s="364">
        <f t="shared" ref="J25:K25" si="12">J24+B25+D25+F25+H25</f>
        <v>102653.5383</v>
      </c>
      <c r="K25" s="364">
        <f t="shared" si="12"/>
        <v>0</v>
      </c>
      <c r="L25" s="365">
        <f t="shared" si="7"/>
        <v>102653.5383</v>
      </c>
    </row>
    <row r="26" ht="12.75" customHeight="1">
      <c r="A26" s="36" t="s">
        <v>157</v>
      </c>
      <c r="B26" s="362">
        <f t="shared" si="2"/>
        <v>1613.127031</v>
      </c>
      <c r="C26" s="363">
        <v>0.0</v>
      </c>
      <c r="D26" s="364">
        <f t="shared" si="3"/>
        <v>9385.466363</v>
      </c>
      <c r="E26" s="363">
        <v>0.0</v>
      </c>
      <c r="F26" s="364">
        <f t="shared" si="4"/>
        <v>1026.535383</v>
      </c>
      <c r="G26" s="363">
        <v>0.0</v>
      </c>
      <c r="H26" s="364">
        <f t="shared" si="5"/>
        <v>2639.662415</v>
      </c>
      <c r="I26" s="363">
        <v>0.0</v>
      </c>
      <c r="J26" s="364">
        <f t="shared" ref="J26:K26" si="13">J25+B26+D26+F26+H26</f>
        <v>117318.3295</v>
      </c>
      <c r="K26" s="364">
        <f t="shared" si="13"/>
        <v>0</v>
      </c>
      <c r="L26" s="365">
        <f t="shared" si="7"/>
        <v>117318.3295</v>
      </c>
    </row>
    <row r="27" ht="12.75" customHeight="1">
      <c r="A27" s="36" t="s">
        <v>158</v>
      </c>
      <c r="B27" s="362">
        <f t="shared" si="2"/>
        <v>1613.127031</v>
      </c>
      <c r="C27" s="363">
        <v>0.0</v>
      </c>
      <c r="D27" s="364">
        <f t="shared" si="3"/>
        <v>9385.466363</v>
      </c>
      <c r="E27" s="363">
        <v>0.0</v>
      </c>
      <c r="F27" s="364">
        <f t="shared" si="4"/>
        <v>1026.535383</v>
      </c>
      <c r="G27" s="363">
        <v>0.0</v>
      </c>
      <c r="H27" s="364">
        <f t="shared" si="5"/>
        <v>2639.662415</v>
      </c>
      <c r="I27" s="363">
        <v>0.0</v>
      </c>
      <c r="J27" s="364">
        <f t="shared" ref="J27:K27" si="14">J26+B27+D27+F27+H27</f>
        <v>131983.1207</v>
      </c>
      <c r="K27" s="364">
        <f t="shared" si="14"/>
        <v>0</v>
      </c>
      <c r="L27" s="365">
        <f t="shared" si="7"/>
        <v>131983.1207</v>
      </c>
    </row>
    <row r="28" ht="12.75" customHeight="1">
      <c r="A28" s="36" t="s">
        <v>159</v>
      </c>
      <c r="B28" s="362">
        <f t="shared" si="2"/>
        <v>1613.127031</v>
      </c>
      <c r="C28" s="363">
        <v>0.0</v>
      </c>
      <c r="D28" s="364">
        <f t="shared" si="3"/>
        <v>9385.466363</v>
      </c>
      <c r="E28" s="363">
        <v>0.0</v>
      </c>
      <c r="F28" s="364">
        <f t="shared" si="4"/>
        <v>1026.535383</v>
      </c>
      <c r="G28" s="363">
        <v>0.0</v>
      </c>
      <c r="H28" s="364">
        <f t="shared" si="5"/>
        <v>2639.662415</v>
      </c>
      <c r="I28" s="363">
        <v>0.0</v>
      </c>
      <c r="J28" s="364">
        <f t="shared" ref="J28:K28" si="15">J27+B28+D28+F28+H28</f>
        <v>146647.9119</v>
      </c>
      <c r="K28" s="364">
        <f t="shared" si="15"/>
        <v>0</v>
      </c>
      <c r="L28" s="365">
        <f t="shared" si="7"/>
        <v>146647.9119</v>
      </c>
    </row>
    <row r="29" ht="12.75" customHeight="1">
      <c r="A29" s="36" t="s">
        <v>160</v>
      </c>
      <c r="B29" s="362">
        <f t="shared" si="2"/>
        <v>1613.127031</v>
      </c>
      <c r="C29" s="363">
        <v>0.0</v>
      </c>
      <c r="D29" s="364">
        <f t="shared" si="3"/>
        <v>9385.466363</v>
      </c>
      <c r="E29" s="363">
        <v>0.0</v>
      </c>
      <c r="F29" s="364">
        <f t="shared" si="4"/>
        <v>1026.535383</v>
      </c>
      <c r="G29" s="363">
        <v>0.0</v>
      </c>
      <c r="H29" s="364">
        <f t="shared" si="5"/>
        <v>2639.662415</v>
      </c>
      <c r="I29" s="363">
        <v>0.0</v>
      </c>
      <c r="J29" s="364">
        <f t="shared" ref="J29:K29" si="16">J28+B29+D29+F29+H29</f>
        <v>161312.7031</v>
      </c>
      <c r="K29" s="364">
        <f t="shared" si="16"/>
        <v>0</v>
      </c>
      <c r="L29" s="365">
        <f t="shared" si="7"/>
        <v>161312.7031</v>
      </c>
    </row>
    <row r="30" ht="12.75" customHeight="1">
      <c r="A30" s="36" t="s">
        <v>161</v>
      </c>
      <c r="B30" s="362">
        <f t="shared" si="2"/>
        <v>1613.127031</v>
      </c>
      <c r="C30" s="363">
        <v>0.0</v>
      </c>
      <c r="D30" s="364">
        <f t="shared" si="3"/>
        <v>9385.466363</v>
      </c>
      <c r="E30" s="363">
        <v>0.0</v>
      </c>
      <c r="F30" s="364">
        <f t="shared" si="4"/>
        <v>1026.535383</v>
      </c>
      <c r="G30" s="363">
        <v>0.0</v>
      </c>
      <c r="H30" s="364">
        <f t="shared" si="5"/>
        <v>2639.662415</v>
      </c>
      <c r="I30" s="363">
        <v>0.0</v>
      </c>
      <c r="J30" s="364">
        <f t="shared" ref="J30:K30" si="17">J29+B30+D30+F30+H30</f>
        <v>175977.4943</v>
      </c>
      <c r="K30" s="364">
        <f t="shared" si="17"/>
        <v>0</v>
      </c>
      <c r="L30" s="365">
        <f t="shared" si="7"/>
        <v>175977.4943</v>
      </c>
    </row>
    <row r="31" ht="12.75" customHeight="1">
      <c r="A31" s="36" t="s">
        <v>162</v>
      </c>
      <c r="B31" s="362">
        <f t="shared" si="2"/>
        <v>1613.127031</v>
      </c>
      <c r="C31" s="363">
        <v>0.0</v>
      </c>
      <c r="D31" s="364">
        <f t="shared" si="3"/>
        <v>9385.466363</v>
      </c>
      <c r="E31" s="363">
        <v>0.0</v>
      </c>
      <c r="F31" s="364">
        <f t="shared" si="4"/>
        <v>1026.535383</v>
      </c>
      <c r="G31" s="363">
        <v>0.0</v>
      </c>
      <c r="H31" s="364">
        <f t="shared" si="5"/>
        <v>2639.662415</v>
      </c>
      <c r="I31" s="363">
        <v>0.0</v>
      </c>
      <c r="J31" s="364">
        <f t="shared" ref="J31:K31" si="18">J30+B31+D31+F31+H31</f>
        <v>190642.2855</v>
      </c>
      <c r="K31" s="364">
        <f t="shared" si="18"/>
        <v>0</v>
      </c>
      <c r="L31" s="365">
        <f t="shared" si="7"/>
        <v>190642.2855</v>
      </c>
    </row>
    <row r="32" ht="12.75" customHeight="1">
      <c r="A32" s="36" t="s">
        <v>163</v>
      </c>
      <c r="B32" s="362">
        <f t="shared" si="2"/>
        <v>1613.127031</v>
      </c>
      <c r="C32" s="363">
        <v>0.0</v>
      </c>
      <c r="D32" s="364">
        <f t="shared" si="3"/>
        <v>9385.466363</v>
      </c>
      <c r="E32" s="363">
        <v>0.0</v>
      </c>
      <c r="F32" s="364">
        <f t="shared" si="4"/>
        <v>1026.535383</v>
      </c>
      <c r="G32" s="363">
        <v>0.0</v>
      </c>
      <c r="H32" s="364">
        <f t="shared" si="5"/>
        <v>2639.662415</v>
      </c>
      <c r="I32" s="363">
        <v>0.0</v>
      </c>
      <c r="J32" s="364">
        <f t="shared" ref="J32:K32" si="19">J31+B32+D32+F32+H32</f>
        <v>205307.0767</v>
      </c>
      <c r="K32" s="364">
        <f t="shared" si="19"/>
        <v>0</v>
      </c>
      <c r="L32" s="365">
        <f t="shared" si="7"/>
        <v>205307.0767</v>
      </c>
    </row>
    <row r="33" ht="12.75" customHeight="1">
      <c r="A33" s="36" t="s">
        <v>164</v>
      </c>
      <c r="B33" s="362">
        <f t="shared" si="2"/>
        <v>1613.127031</v>
      </c>
      <c r="C33" s="363">
        <v>0.0</v>
      </c>
      <c r="D33" s="364">
        <f t="shared" si="3"/>
        <v>9385.466363</v>
      </c>
      <c r="E33" s="363">
        <v>0.0</v>
      </c>
      <c r="F33" s="364">
        <f t="shared" si="4"/>
        <v>1026.535383</v>
      </c>
      <c r="G33" s="363">
        <v>0.0</v>
      </c>
      <c r="H33" s="364">
        <f t="shared" si="5"/>
        <v>2639.662415</v>
      </c>
      <c r="I33" s="363">
        <v>0.0</v>
      </c>
      <c r="J33" s="364">
        <f t="shared" ref="J33:K33" si="20">J32+B33+D33+F33+H33</f>
        <v>219971.8679</v>
      </c>
      <c r="K33" s="364">
        <f t="shared" si="20"/>
        <v>0</v>
      </c>
      <c r="L33" s="365">
        <f t="shared" si="7"/>
        <v>219971.8679</v>
      </c>
    </row>
    <row r="34" ht="12.75" customHeight="1">
      <c r="A34" s="36" t="s">
        <v>165</v>
      </c>
      <c r="B34" s="362">
        <f t="shared" si="2"/>
        <v>1613.127031</v>
      </c>
      <c r="C34" s="363">
        <v>0.0</v>
      </c>
      <c r="D34" s="364">
        <f t="shared" si="3"/>
        <v>9385.466363</v>
      </c>
      <c r="E34" s="363">
        <v>0.0</v>
      </c>
      <c r="F34" s="364">
        <f t="shared" si="4"/>
        <v>1026.535383</v>
      </c>
      <c r="G34" s="363">
        <v>0.0</v>
      </c>
      <c r="H34" s="364">
        <f t="shared" si="5"/>
        <v>2639.662415</v>
      </c>
      <c r="I34" s="363">
        <v>0.0</v>
      </c>
      <c r="J34" s="364">
        <f t="shared" ref="J34:K34" si="21">J33+B34+D34+F34+H34</f>
        <v>234636.6591</v>
      </c>
      <c r="K34" s="364">
        <f t="shared" si="21"/>
        <v>0</v>
      </c>
      <c r="L34" s="365">
        <f t="shared" si="7"/>
        <v>234636.6591</v>
      </c>
    </row>
    <row r="35" ht="12.75" customHeight="1">
      <c r="A35" s="36" t="s">
        <v>166</v>
      </c>
      <c r="B35" s="362">
        <f t="shared" si="2"/>
        <v>1613.127031</v>
      </c>
      <c r="C35" s="363">
        <v>0.0</v>
      </c>
      <c r="D35" s="364">
        <f t="shared" si="3"/>
        <v>9385.466363</v>
      </c>
      <c r="E35" s="363">
        <v>0.0</v>
      </c>
      <c r="F35" s="364">
        <f t="shared" si="4"/>
        <v>1026.535383</v>
      </c>
      <c r="G35" s="363">
        <v>0.0</v>
      </c>
      <c r="H35" s="364">
        <f t="shared" si="5"/>
        <v>2639.662415</v>
      </c>
      <c r="I35" s="363">
        <v>0.0</v>
      </c>
      <c r="J35" s="364">
        <f t="shared" ref="J35:K35" si="22">J34+B35+D35+F35+H35</f>
        <v>249301.4503</v>
      </c>
      <c r="K35" s="364">
        <f t="shared" si="22"/>
        <v>0</v>
      </c>
      <c r="L35" s="365">
        <f t="shared" si="7"/>
        <v>249301.4503</v>
      </c>
    </row>
    <row r="36" ht="12.75" customHeight="1">
      <c r="A36" s="36" t="s">
        <v>167</v>
      </c>
      <c r="B36" s="362">
        <f t="shared" si="2"/>
        <v>1613.127031</v>
      </c>
      <c r="C36" s="363">
        <v>0.0</v>
      </c>
      <c r="D36" s="364">
        <f t="shared" si="3"/>
        <v>9385.466363</v>
      </c>
      <c r="E36" s="363">
        <v>0.0</v>
      </c>
      <c r="F36" s="364">
        <f t="shared" si="4"/>
        <v>1026.535383</v>
      </c>
      <c r="G36" s="363">
        <v>0.0</v>
      </c>
      <c r="H36" s="364">
        <f t="shared" si="5"/>
        <v>2639.662415</v>
      </c>
      <c r="I36" s="363">
        <v>0.0</v>
      </c>
      <c r="J36" s="364">
        <f t="shared" ref="J36:K36" si="23">J35+B36+D36+F36+H36</f>
        <v>263966.2415</v>
      </c>
      <c r="K36" s="364">
        <f t="shared" si="23"/>
        <v>0</v>
      </c>
      <c r="L36" s="365">
        <f t="shared" si="7"/>
        <v>263966.2415</v>
      </c>
    </row>
    <row r="37" ht="12.75" customHeight="1">
      <c r="A37" s="36" t="s">
        <v>168</v>
      </c>
      <c r="B37" s="362">
        <f t="shared" si="2"/>
        <v>1613.127031</v>
      </c>
      <c r="C37" s="363">
        <v>0.0</v>
      </c>
      <c r="D37" s="364">
        <f t="shared" si="3"/>
        <v>9385.466363</v>
      </c>
      <c r="E37" s="363">
        <v>0.0</v>
      </c>
      <c r="F37" s="364">
        <f t="shared" si="4"/>
        <v>1026.535383</v>
      </c>
      <c r="G37" s="363">
        <v>0.0</v>
      </c>
      <c r="H37" s="364">
        <f t="shared" si="5"/>
        <v>2639.662415</v>
      </c>
      <c r="I37" s="363">
        <v>0.0</v>
      </c>
      <c r="J37" s="364">
        <f t="shared" ref="J37:K37" si="24">J36+B37+D37+F37+H37</f>
        <v>278631.0326</v>
      </c>
      <c r="K37" s="364">
        <f t="shared" si="24"/>
        <v>0</v>
      </c>
      <c r="L37" s="365">
        <f t="shared" si="7"/>
        <v>278631.0326</v>
      </c>
    </row>
    <row r="38" ht="12.75" customHeight="1">
      <c r="A38" s="36" t="s">
        <v>169</v>
      </c>
      <c r="B38" s="362">
        <f t="shared" si="2"/>
        <v>1613.127031</v>
      </c>
      <c r="C38" s="363">
        <v>0.0</v>
      </c>
      <c r="D38" s="364">
        <f t="shared" si="3"/>
        <v>9385.466363</v>
      </c>
      <c r="E38" s="363">
        <v>0.0</v>
      </c>
      <c r="F38" s="364">
        <f t="shared" si="4"/>
        <v>1026.535383</v>
      </c>
      <c r="G38" s="363">
        <v>0.0</v>
      </c>
      <c r="H38" s="364">
        <f t="shared" si="5"/>
        <v>2639.662415</v>
      </c>
      <c r="I38" s="363">
        <v>0.0</v>
      </c>
      <c r="J38" s="364">
        <f t="shared" ref="J38:K38" si="25">J37+B38+D38+F38+H38</f>
        <v>293295.8238</v>
      </c>
      <c r="K38" s="364">
        <f t="shared" si="25"/>
        <v>0</v>
      </c>
      <c r="L38" s="365">
        <f t="shared" si="7"/>
        <v>293295.8238</v>
      </c>
    </row>
    <row r="39" ht="12.75" customHeight="1">
      <c r="A39" s="36" t="s">
        <v>170</v>
      </c>
      <c r="B39" s="362">
        <f t="shared" si="2"/>
        <v>1613.127031</v>
      </c>
      <c r="C39" s="363">
        <v>0.0</v>
      </c>
      <c r="D39" s="364">
        <f t="shared" si="3"/>
        <v>9385.466363</v>
      </c>
      <c r="E39" s="363">
        <v>0.0</v>
      </c>
      <c r="F39" s="364">
        <f t="shared" si="4"/>
        <v>1026.535383</v>
      </c>
      <c r="G39" s="363">
        <v>0.0</v>
      </c>
      <c r="H39" s="364">
        <f t="shared" si="5"/>
        <v>2639.662415</v>
      </c>
      <c r="I39" s="363">
        <v>0.0</v>
      </c>
      <c r="J39" s="364">
        <f t="shared" ref="J39:K39" si="26">J38+B39+D39+F39+H39</f>
        <v>307960.615</v>
      </c>
      <c r="K39" s="364">
        <f t="shared" si="26"/>
        <v>0</v>
      </c>
      <c r="L39" s="365">
        <f t="shared" si="7"/>
        <v>307960.615</v>
      </c>
    </row>
    <row r="40" ht="12.75" customHeight="1">
      <c r="A40" s="36" t="s">
        <v>171</v>
      </c>
      <c r="B40" s="362">
        <f t="shared" si="2"/>
        <v>1613.127031</v>
      </c>
      <c r="C40" s="363">
        <v>0.0</v>
      </c>
      <c r="D40" s="364">
        <f t="shared" si="3"/>
        <v>9385.466363</v>
      </c>
      <c r="E40" s="363">
        <v>0.0</v>
      </c>
      <c r="F40" s="364">
        <f t="shared" si="4"/>
        <v>1026.535383</v>
      </c>
      <c r="G40" s="363">
        <v>0.0</v>
      </c>
      <c r="H40" s="364">
        <f t="shared" si="5"/>
        <v>2639.662415</v>
      </c>
      <c r="I40" s="363">
        <v>0.0</v>
      </c>
      <c r="J40" s="364">
        <f t="shared" ref="J40:K40" si="27">J39+B40+D40+F40+H40</f>
        <v>322625.4062</v>
      </c>
      <c r="K40" s="364">
        <f t="shared" si="27"/>
        <v>0</v>
      </c>
      <c r="L40" s="365">
        <f t="shared" si="7"/>
        <v>322625.4062</v>
      </c>
    </row>
    <row r="41" ht="12.75" customHeight="1">
      <c r="A41" s="36" t="s">
        <v>172</v>
      </c>
      <c r="B41" s="362">
        <f t="shared" si="2"/>
        <v>1613.127031</v>
      </c>
      <c r="C41" s="363">
        <v>0.0</v>
      </c>
      <c r="D41" s="364">
        <f t="shared" si="3"/>
        <v>9385.466363</v>
      </c>
      <c r="E41" s="363">
        <v>0.0</v>
      </c>
      <c r="F41" s="364">
        <f t="shared" si="4"/>
        <v>1026.535383</v>
      </c>
      <c r="G41" s="363">
        <v>0.0</v>
      </c>
      <c r="H41" s="364">
        <f t="shared" si="5"/>
        <v>2639.662415</v>
      </c>
      <c r="I41" s="363">
        <v>0.0</v>
      </c>
      <c r="J41" s="364">
        <f t="shared" ref="J41:K41" si="28">J40+B41+D41+F41+H41</f>
        <v>337290.1974</v>
      </c>
      <c r="K41" s="364">
        <f t="shared" si="28"/>
        <v>0</v>
      </c>
      <c r="L41" s="365">
        <f t="shared" si="7"/>
        <v>337290.1974</v>
      </c>
    </row>
    <row r="42" ht="12.75" customHeight="1">
      <c r="A42" s="36" t="s">
        <v>173</v>
      </c>
      <c r="B42" s="362">
        <f t="shared" si="2"/>
        <v>1613.127031</v>
      </c>
      <c r="C42" s="363">
        <v>0.0</v>
      </c>
      <c r="D42" s="364">
        <f t="shared" si="3"/>
        <v>9385.466363</v>
      </c>
      <c r="E42" s="363">
        <v>0.0</v>
      </c>
      <c r="F42" s="364">
        <f t="shared" si="4"/>
        <v>1026.535383</v>
      </c>
      <c r="G42" s="363">
        <v>0.0</v>
      </c>
      <c r="H42" s="364">
        <f t="shared" si="5"/>
        <v>2639.662415</v>
      </c>
      <c r="I42" s="363">
        <v>0.0</v>
      </c>
      <c r="J42" s="364">
        <f t="shared" ref="J42:K42" si="29">J41+B42+D42+F42+H42</f>
        <v>351954.9886</v>
      </c>
      <c r="K42" s="364">
        <f t="shared" si="29"/>
        <v>0</v>
      </c>
      <c r="L42" s="365">
        <f t="shared" si="7"/>
        <v>351954.9886</v>
      </c>
    </row>
    <row r="43" ht="12.75" customHeight="1">
      <c r="A43" s="36" t="s">
        <v>174</v>
      </c>
      <c r="B43" s="362">
        <f t="shared" si="2"/>
        <v>1613.127031</v>
      </c>
      <c r="C43" s="363">
        <v>0.0</v>
      </c>
      <c r="D43" s="364">
        <f t="shared" si="3"/>
        <v>9385.466363</v>
      </c>
      <c r="E43" s="363">
        <v>0.0</v>
      </c>
      <c r="F43" s="364">
        <f t="shared" si="4"/>
        <v>1026.535383</v>
      </c>
      <c r="G43" s="363">
        <v>0.0</v>
      </c>
      <c r="H43" s="364">
        <f t="shared" si="5"/>
        <v>2639.662415</v>
      </c>
      <c r="I43" s="363">
        <v>0.0</v>
      </c>
      <c r="J43" s="364">
        <f t="shared" ref="J43:K43" si="30">J42+B43+D43+F43+H43</f>
        <v>366619.7798</v>
      </c>
      <c r="K43" s="364">
        <f t="shared" si="30"/>
        <v>0</v>
      </c>
      <c r="L43" s="365">
        <f t="shared" si="7"/>
        <v>366619.7798</v>
      </c>
    </row>
    <row r="44" ht="12.75" customHeight="1">
      <c r="A44" s="36" t="s">
        <v>175</v>
      </c>
      <c r="B44" s="362">
        <f t="shared" si="2"/>
        <v>1613.127031</v>
      </c>
      <c r="C44" s="363">
        <v>0.0</v>
      </c>
      <c r="D44" s="364">
        <f t="shared" si="3"/>
        <v>9385.466363</v>
      </c>
      <c r="E44" s="363">
        <v>0.0</v>
      </c>
      <c r="F44" s="364">
        <f t="shared" si="4"/>
        <v>1026.535383</v>
      </c>
      <c r="G44" s="363">
        <v>0.0</v>
      </c>
      <c r="H44" s="364">
        <f t="shared" si="5"/>
        <v>2639.662415</v>
      </c>
      <c r="I44" s="363">
        <v>0.0</v>
      </c>
      <c r="J44" s="364">
        <f t="shared" ref="J44:K44" si="31">J43+B44+D44+F44+H44</f>
        <v>381284.571</v>
      </c>
      <c r="K44" s="364">
        <f t="shared" si="31"/>
        <v>0</v>
      </c>
      <c r="L44" s="365">
        <f t="shared" si="7"/>
        <v>381284.571</v>
      </c>
    </row>
    <row r="45" ht="12.75" customHeight="1">
      <c r="A45" s="36" t="s">
        <v>176</v>
      </c>
      <c r="B45" s="367">
        <f t="shared" si="2"/>
        <v>1613.127031</v>
      </c>
      <c r="C45" s="368">
        <v>0.0</v>
      </c>
      <c r="D45" s="369">
        <f t="shared" si="3"/>
        <v>9385.466363</v>
      </c>
      <c r="E45" s="368">
        <v>0.0</v>
      </c>
      <c r="F45" s="369">
        <f t="shared" si="4"/>
        <v>1026.535383</v>
      </c>
      <c r="G45" s="368">
        <v>0.0</v>
      </c>
      <c r="H45" s="369">
        <f t="shared" si="5"/>
        <v>2639.662415</v>
      </c>
      <c r="I45" s="368">
        <v>0.0</v>
      </c>
      <c r="J45" s="369">
        <f t="shared" ref="J45:K45" si="32">J44+B45+D45+F45+H45</f>
        <v>395949.3622</v>
      </c>
      <c r="K45" s="369">
        <f t="shared" si="32"/>
        <v>0</v>
      </c>
      <c r="L45" s="370">
        <f t="shared" si="7"/>
        <v>395949.3622</v>
      </c>
    </row>
    <row r="46" ht="12.75" customHeight="1"/>
    <row r="47" ht="12.75" customHeight="1"/>
    <row r="48" ht="12.75" customHeight="1">
      <c r="A48" s="371" t="s">
        <v>177</v>
      </c>
      <c r="B48" s="108"/>
      <c r="C48" s="372" t="s">
        <v>178</v>
      </c>
      <c r="D48" s="373" t="s">
        <v>179</v>
      </c>
      <c r="E48" s="373" t="s">
        <v>180</v>
      </c>
      <c r="F48" s="374" t="s">
        <v>181</v>
      </c>
    </row>
    <row r="49" ht="14.25" customHeight="1">
      <c r="A49" s="375"/>
      <c r="B49" s="376"/>
      <c r="C49" s="377"/>
      <c r="D49" s="377"/>
      <c r="E49" s="377"/>
      <c r="F49" s="378"/>
    </row>
    <row r="50" ht="14.25" customHeight="1">
      <c r="A50" s="379"/>
      <c r="B50" s="380"/>
      <c r="C50" s="381"/>
      <c r="D50" s="381"/>
      <c r="E50" s="381"/>
      <c r="F50" s="382"/>
    </row>
    <row r="51" ht="14.25" customHeight="1">
      <c r="A51" s="379"/>
      <c r="B51" s="380"/>
      <c r="C51" s="381"/>
      <c r="D51" s="381"/>
      <c r="E51" s="381"/>
      <c r="F51" s="382"/>
    </row>
    <row r="52" ht="14.25" customHeight="1">
      <c r="A52" s="379"/>
      <c r="B52" s="380"/>
      <c r="C52" s="381"/>
      <c r="D52" s="381"/>
      <c r="E52" s="381"/>
      <c r="F52" s="382"/>
    </row>
    <row r="53" ht="14.25" customHeight="1">
      <c r="A53" s="379"/>
      <c r="B53" s="380"/>
      <c r="C53" s="381"/>
      <c r="D53" s="381"/>
      <c r="E53" s="381"/>
      <c r="F53" s="382"/>
    </row>
    <row r="54" ht="14.25" customHeight="1">
      <c r="A54" s="379"/>
      <c r="B54" s="380"/>
      <c r="C54" s="381"/>
      <c r="D54" s="381"/>
      <c r="E54" s="381"/>
      <c r="F54" s="382"/>
    </row>
    <row r="55" ht="14.25" customHeight="1">
      <c r="A55" s="379"/>
      <c r="B55" s="380"/>
      <c r="C55" s="381"/>
      <c r="D55" s="381"/>
      <c r="E55" s="381"/>
      <c r="F55" s="382"/>
    </row>
    <row r="56" ht="14.25" customHeight="1">
      <c r="A56" s="379"/>
      <c r="B56" s="380"/>
      <c r="C56" s="381"/>
      <c r="D56" s="381"/>
      <c r="E56" s="381"/>
      <c r="F56" s="382"/>
    </row>
    <row r="57" ht="14.25" customHeight="1">
      <c r="A57" s="379"/>
      <c r="B57" s="380"/>
      <c r="C57" s="381"/>
      <c r="D57" s="381"/>
      <c r="E57" s="381"/>
      <c r="F57" s="382"/>
    </row>
    <row r="58" ht="14.25" customHeight="1">
      <c r="A58" s="379"/>
      <c r="B58" s="380"/>
      <c r="C58" s="381"/>
      <c r="D58" s="381"/>
      <c r="E58" s="381"/>
      <c r="F58" s="382"/>
    </row>
    <row r="59" ht="14.25" customHeight="1">
      <c r="A59" s="379"/>
      <c r="B59" s="380"/>
      <c r="C59" s="381"/>
      <c r="D59" s="381"/>
      <c r="E59" s="381"/>
      <c r="F59" s="382"/>
    </row>
    <row r="60" ht="14.25" customHeight="1">
      <c r="A60" s="379"/>
      <c r="B60" s="380"/>
      <c r="C60" s="381"/>
      <c r="D60" s="381"/>
      <c r="E60" s="381"/>
      <c r="F60" s="382"/>
    </row>
    <row r="61" ht="14.25" customHeight="1">
      <c r="A61" s="379"/>
      <c r="B61" s="380"/>
      <c r="C61" s="381"/>
      <c r="D61" s="381"/>
      <c r="E61" s="381"/>
      <c r="F61" s="382"/>
    </row>
    <row r="62" ht="14.25" customHeight="1">
      <c r="A62" s="379"/>
      <c r="B62" s="380"/>
      <c r="C62" s="381"/>
      <c r="D62" s="381"/>
      <c r="E62" s="381"/>
      <c r="F62" s="382"/>
    </row>
    <row r="63" ht="14.25" customHeight="1">
      <c r="A63" s="379"/>
      <c r="B63" s="380"/>
      <c r="C63" s="381"/>
      <c r="D63" s="381"/>
      <c r="E63" s="381"/>
      <c r="F63" s="382"/>
    </row>
    <row r="64" ht="14.25" customHeight="1">
      <c r="A64" s="379"/>
      <c r="B64" s="380"/>
      <c r="C64" s="381"/>
      <c r="D64" s="381"/>
      <c r="E64" s="381"/>
      <c r="F64" s="382"/>
    </row>
    <row r="65" ht="14.25" customHeight="1">
      <c r="A65" s="379"/>
      <c r="B65" s="380"/>
      <c r="C65" s="381"/>
      <c r="D65" s="381"/>
      <c r="E65" s="381"/>
      <c r="F65" s="382"/>
    </row>
    <row r="66" ht="14.25" customHeight="1">
      <c r="A66" s="379"/>
      <c r="B66" s="380"/>
      <c r="C66" s="381"/>
      <c r="D66" s="381"/>
      <c r="E66" s="381"/>
      <c r="F66" s="382"/>
    </row>
    <row r="67" ht="14.25" customHeight="1">
      <c r="A67" s="379"/>
      <c r="B67" s="380"/>
      <c r="C67" s="381"/>
      <c r="D67" s="381"/>
      <c r="E67" s="381"/>
      <c r="F67" s="382"/>
    </row>
    <row r="68" ht="14.25" customHeight="1">
      <c r="A68" s="379"/>
      <c r="B68" s="380"/>
      <c r="C68" s="381"/>
      <c r="D68" s="381"/>
      <c r="E68" s="381"/>
      <c r="F68" s="382"/>
    </row>
    <row r="69" ht="12.75" customHeight="1">
      <c r="A69" s="383"/>
      <c r="B69" s="384"/>
      <c r="C69" s="385"/>
      <c r="D69" s="385"/>
      <c r="E69" s="385"/>
      <c r="F69" s="386"/>
    </row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3">
    <mergeCell ref="J1:M1"/>
    <mergeCell ref="D2:E2"/>
    <mergeCell ref="D3:E3"/>
    <mergeCell ref="D4:E4"/>
    <mergeCell ref="D6:E6"/>
    <mergeCell ref="D7:E7"/>
    <mergeCell ref="D8:E8"/>
    <mergeCell ref="D10:E10"/>
    <mergeCell ref="D11:E11"/>
    <mergeCell ref="D12:E12"/>
    <mergeCell ref="D14:E14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65:B65"/>
    <mergeCell ref="A66:B66"/>
    <mergeCell ref="A67:B67"/>
    <mergeCell ref="A68:B68"/>
    <mergeCell ref="A69:B69"/>
    <mergeCell ref="A58:B58"/>
    <mergeCell ref="A59:B59"/>
    <mergeCell ref="A60:B60"/>
    <mergeCell ref="A61:B61"/>
    <mergeCell ref="A62:B62"/>
    <mergeCell ref="A63:B63"/>
    <mergeCell ref="A64:B64"/>
  </mergeCells>
  <conditionalFormatting sqref="K19:K45">
    <cfRule type="cellIs" dxfId="1" priority="1" operator="greaterThan">
      <formula>$B$3</formula>
    </cfRule>
  </conditionalFormatting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25"/>
    <col customWidth="1" min="2" max="2" width="20.13"/>
    <col customWidth="1" min="3" max="3" width="15.0"/>
    <col customWidth="1" min="4" max="4" width="15.63"/>
    <col customWidth="1" min="5" max="5" width="25.63"/>
    <col customWidth="1" min="6" max="6" width="18.25"/>
    <col customWidth="1" min="7" max="7" width="14.75"/>
    <col customWidth="1" min="8" max="8" width="23.75"/>
    <col customWidth="1" min="9" max="12" width="14.0"/>
    <col customWidth="1" min="13" max="13" width="11.38"/>
    <col customWidth="1" min="14" max="26" width="8.63"/>
  </cols>
  <sheetData>
    <row r="1" ht="12.75" customHeight="1">
      <c r="A1" s="310" t="s">
        <v>193</v>
      </c>
      <c r="J1" s="389" t="s">
        <v>118</v>
      </c>
      <c r="K1" s="169"/>
      <c r="L1" s="169"/>
      <c r="M1" s="108"/>
    </row>
    <row r="2" ht="12.75" customHeight="1">
      <c r="D2" s="312" t="s">
        <v>119</v>
      </c>
      <c r="E2" s="167"/>
      <c r="F2" s="345">
        <f>'Input Data'!L12</f>
        <v>8500</v>
      </c>
      <c r="G2" s="346"/>
      <c r="H2" s="315" t="s">
        <v>187</v>
      </c>
      <c r="J2" s="392" t="s">
        <v>115</v>
      </c>
      <c r="K2" s="393" t="s">
        <v>87</v>
      </c>
      <c r="L2" s="393" t="s">
        <v>88</v>
      </c>
      <c r="M2" s="394" t="s">
        <v>86</v>
      </c>
    </row>
    <row r="3" ht="12.75" customHeight="1">
      <c r="A3" s="395" t="s">
        <v>121</v>
      </c>
      <c r="B3" s="320">
        <f>'Sales Goals'!I16</f>
        <v>190533.7716</v>
      </c>
      <c r="D3" s="321" t="s">
        <v>122</v>
      </c>
      <c r="E3" s="172"/>
      <c r="F3" s="348">
        <f>B3*B9</f>
        <v>121941.6138</v>
      </c>
      <c r="G3" s="349" t="s">
        <v>123</v>
      </c>
      <c r="H3" s="324">
        <f>'Input Data'!L13</f>
        <v>0.5</v>
      </c>
      <c r="I3" s="3"/>
      <c r="J3" s="325"/>
      <c r="K3" s="326"/>
      <c r="L3" s="326"/>
      <c r="M3" s="327"/>
    </row>
    <row r="4" ht="12.75" customHeight="1">
      <c r="A4" s="396"/>
      <c r="B4" s="36"/>
      <c r="D4" s="328" t="s">
        <v>124</v>
      </c>
      <c r="E4" s="108"/>
      <c r="F4" s="387">
        <f>F3/F2</f>
        <v>14.34607222</v>
      </c>
      <c r="G4" s="330"/>
      <c r="H4" s="331">
        <f>F4/H3</f>
        <v>28.69214443</v>
      </c>
      <c r="I4" s="3"/>
      <c r="J4" s="325">
        <f>H4/'Input Data'!G30</f>
        <v>0.5216753533</v>
      </c>
      <c r="K4" s="326"/>
      <c r="L4" s="326"/>
      <c r="M4" s="327">
        <f>F4/'Input Data'!G34</f>
        <v>0.6520941916</v>
      </c>
    </row>
    <row r="5" ht="12.75" customHeight="1">
      <c r="A5" s="397" t="s">
        <v>125</v>
      </c>
      <c r="B5" s="320">
        <f>((B3/31)*7)/'Break-even'!C25</f>
        <v>8604.750976</v>
      </c>
      <c r="F5" s="36"/>
      <c r="G5" s="36"/>
      <c r="H5" s="36"/>
      <c r="J5" s="325"/>
      <c r="K5" s="326"/>
      <c r="L5" s="326"/>
      <c r="M5" s="327"/>
    </row>
    <row r="6" ht="12.75" customHeight="1">
      <c r="B6" s="36"/>
      <c r="D6" s="312" t="s">
        <v>126</v>
      </c>
      <c r="E6" s="167"/>
      <c r="F6" s="345">
        <f>'Input Data'!L16</f>
        <v>350</v>
      </c>
      <c r="G6" s="346"/>
      <c r="H6" s="333" t="s">
        <v>127</v>
      </c>
      <c r="J6" s="334"/>
      <c r="K6" s="326"/>
      <c r="L6" s="326"/>
      <c r="M6" s="327"/>
    </row>
    <row r="7" ht="12.75" customHeight="1">
      <c r="A7" s="335" t="s">
        <v>35</v>
      </c>
      <c r="B7" s="320">
        <f>Budget!C36</f>
        <v>4885.054388</v>
      </c>
      <c r="D7" s="321" t="s">
        <v>128</v>
      </c>
      <c r="E7" s="172"/>
      <c r="F7" s="348">
        <f>B3*B11</f>
        <v>17148.03945</v>
      </c>
      <c r="G7" s="349" t="s">
        <v>123</v>
      </c>
      <c r="H7" s="324">
        <f>'Input Data'!L17</f>
        <v>1</v>
      </c>
      <c r="J7" s="325"/>
      <c r="K7" s="336"/>
      <c r="L7" s="326"/>
      <c r="M7" s="327"/>
    </row>
    <row r="8" ht="12.75" customHeight="1">
      <c r="B8" s="36"/>
      <c r="D8" s="328" t="s">
        <v>129</v>
      </c>
      <c r="E8" s="108"/>
      <c r="F8" s="351">
        <f>F7/F6</f>
        <v>48.99439842</v>
      </c>
      <c r="G8" s="330"/>
      <c r="H8" s="338">
        <f> F8/H7</f>
        <v>48.99439842</v>
      </c>
      <c r="J8" s="325"/>
      <c r="K8" s="326">
        <f>H8/'Input Data'!G31</f>
        <v>0.7423393699</v>
      </c>
      <c r="L8" s="326"/>
      <c r="M8" s="327"/>
    </row>
    <row r="9" ht="12.75" customHeight="1">
      <c r="A9" s="339" t="s">
        <v>130</v>
      </c>
      <c r="B9" s="340">
        <f>'Input Data'!L6</f>
        <v>0.64</v>
      </c>
      <c r="F9" s="36"/>
      <c r="G9" s="36"/>
      <c r="H9" s="36"/>
      <c r="J9" s="325"/>
      <c r="K9" s="326"/>
      <c r="L9" s="326"/>
      <c r="M9" s="327"/>
    </row>
    <row r="10" ht="12.75" customHeight="1">
      <c r="B10" s="36"/>
      <c r="D10" s="312" t="s">
        <v>131</v>
      </c>
      <c r="E10" s="167"/>
      <c r="F10" s="345">
        <f>'Input Data'!L20</f>
        <v>125</v>
      </c>
      <c r="G10" s="346"/>
      <c r="H10" s="333" t="s">
        <v>127</v>
      </c>
      <c r="J10" s="325"/>
      <c r="K10" s="326"/>
      <c r="L10" s="326"/>
      <c r="M10" s="327"/>
    </row>
    <row r="11" ht="12.75" customHeight="1">
      <c r="A11" s="339" t="s">
        <v>132</v>
      </c>
      <c r="B11" s="340">
        <f>'Input Data'!L7</f>
        <v>0.09</v>
      </c>
      <c r="D11" s="321" t="s">
        <v>133</v>
      </c>
      <c r="E11" s="172"/>
      <c r="F11" s="348">
        <f>B3*B13</f>
        <v>17148.03945</v>
      </c>
      <c r="G11" s="349" t="s">
        <v>123</v>
      </c>
      <c r="H11" s="324">
        <f>'Input Data'!L21</f>
        <v>1</v>
      </c>
      <c r="J11" s="325"/>
      <c r="K11" s="326"/>
      <c r="L11" s="326"/>
      <c r="M11" s="327"/>
    </row>
    <row r="12" ht="12.75" customHeight="1">
      <c r="A12" s="278"/>
      <c r="B12" s="342"/>
      <c r="D12" s="328" t="s">
        <v>134</v>
      </c>
      <c r="E12" s="169"/>
      <c r="F12" s="351">
        <f>F11/F10</f>
        <v>137.1843156</v>
      </c>
      <c r="G12" s="330"/>
      <c r="H12" s="338">
        <f> F12/H11</f>
        <v>137.1843156</v>
      </c>
      <c r="J12" s="325"/>
      <c r="K12" s="326">
        <f>H12/'Input Data'!G32</f>
        <v>1.467211931</v>
      </c>
      <c r="L12" s="326"/>
      <c r="M12" s="327"/>
    </row>
    <row r="13" ht="12.75" customHeight="1">
      <c r="A13" s="328" t="s">
        <v>135</v>
      </c>
      <c r="B13" s="340">
        <f>'Input Data'!L8</f>
        <v>0.09</v>
      </c>
      <c r="J13" s="325"/>
      <c r="K13" s="326"/>
      <c r="L13" s="326"/>
      <c r="M13" s="327"/>
    </row>
    <row r="14" ht="12.75" customHeight="1">
      <c r="D14" s="312" t="s">
        <v>136</v>
      </c>
      <c r="E14" s="79"/>
      <c r="F14" s="345">
        <f>'Input Data'!L24</f>
        <v>750</v>
      </c>
      <c r="G14" s="346"/>
      <c r="H14" s="333" t="s">
        <v>127</v>
      </c>
      <c r="J14" s="325"/>
      <c r="K14" s="326"/>
      <c r="L14" s="326"/>
      <c r="M14" s="327"/>
    </row>
    <row r="15" ht="12.75" customHeight="1">
      <c r="A15" s="328" t="s">
        <v>137</v>
      </c>
      <c r="B15" s="324">
        <f>'Input Data'!L9</f>
        <v>0.18</v>
      </c>
      <c r="D15" s="347" t="s">
        <v>128</v>
      </c>
      <c r="E15" s="165"/>
      <c r="F15" s="348">
        <f>B3*B15</f>
        <v>34296.07889</v>
      </c>
      <c r="G15" s="349" t="s">
        <v>123</v>
      </c>
      <c r="H15" s="324">
        <f>'Input Data'!L25</f>
        <v>1</v>
      </c>
      <c r="J15" s="325"/>
      <c r="K15" s="326"/>
      <c r="L15" s="326"/>
      <c r="M15" s="327"/>
    </row>
    <row r="16" ht="12.75" customHeight="1">
      <c r="D16" s="328" t="s">
        <v>138</v>
      </c>
      <c r="E16" s="350"/>
      <c r="F16" s="351">
        <f>F15/F14</f>
        <v>45.72810519</v>
      </c>
      <c r="G16" s="330"/>
      <c r="H16" s="338">
        <f> F16/H15</f>
        <v>45.72810519</v>
      </c>
      <c r="J16" s="352"/>
      <c r="K16" s="388"/>
      <c r="L16" s="353" t="str">
        <f>H16/'Input Data'!G33</f>
        <v>#DIV/0!</v>
      </c>
      <c r="M16" s="354"/>
    </row>
    <row r="17" ht="12.75" customHeight="1"/>
    <row r="18" ht="12.75" customHeight="1">
      <c r="B18" s="355" t="s">
        <v>139</v>
      </c>
      <c r="C18" s="356" t="s">
        <v>140</v>
      </c>
      <c r="D18" s="356" t="s">
        <v>141</v>
      </c>
      <c r="E18" s="357" t="s">
        <v>184</v>
      </c>
      <c r="F18" s="356" t="s">
        <v>143</v>
      </c>
      <c r="G18" s="356" t="s">
        <v>185</v>
      </c>
      <c r="H18" s="356" t="s">
        <v>145</v>
      </c>
      <c r="I18" s="356" t="s">
        <v>146</v>
      </c>
      <c r="J18" s="356" t="s">
        <v>147</v>
      </c>
      <c r="K18" s="356" t="s">
        <v>148</v>
      </c>
      <c r="L18" s="356" t="s">
        <v>149</v>
      </c>
    </row>
    <row r="19" ht="12.75" customHeight="1">
      <c r="A19" s="36" t="s">
        <v>150</v>
      </c>
      <c r="B19" s="358">
        <f t="shared" ref="B19:B45" si="2">$B$5*$B$11</f>
        <v>774.4275879</v>
      </c>
      <c r="C19" s="305">
        <v>0.0</v>
      </c>
      <c r="D19" s="359">
        <f t="shared" ref="D19:D45" si="3">$B$5*$B$9</f>
        <v>5507.040625</v>
      </c>
      <c r="E19" s="305">
        <v>0.0</v>
      </c>
      <c r="F19" s="359">
        <f t="shared" ref="F19:F45" si="4">$B$5*$B$13</f>
        <v>774.4275879</v>
      </c>
      <c r="G19" s="305">
        <v>0.0</v>
      </c>
      <c r="H19" s="359">
        <f t="shared" ref="H19:H45" si="5">$B$5*$B$15</f>
        <v>1548.855176</v>
      </c>
      <c r="I19" s="305">
        <v>0.0</v>
      </c>
      <c r="J19" s="359">
        <f t="shared" ref="J19:K19" si="1">B19+D19+F19+H19</f>
        <v>8604.750976</v>
      </c>
      <c r="K19" s="360">
        <f t="shared" si="1"/>
        <v>0</v>
      </c>
      <c r="L19" s="361">
        <f t="shared" ref="L19:L45" si="7">J19-K19</f>
        <v>8604.750976</v>
      </c>
    </row>
    <row r="20" ht="12.75" customHeight="1">
      <c r="A20" s="36" t="s">
        <v>151</v>
      </c>
      <c r="B20" s="362">
        <f t="shared" si="2"/>
        <v>774.4275879</v>
      </c>
      <c r="C20" s="363">
        <v>0.0</v>
      </c>
      <c r="D20" s="364">
        <f t="shared" si="3"/>
        <v>5507.040625</v>
      </c>
      <c r="E20" s="363">
        <v>0.0</v>
      </c>
      <c r="F20" s="364">
        <f t="shared" si="4"/>
        <v>774.4275879</v>
      </c>
      <c r="G20" s="363">
        <v>0.0</v>
      </c>
      <c r="H20" s="364">
        <f t="shared" si="5"/>
        <v>1548.855176</v>
      </c>
      <c r="I20" s="363">
        <v>0.0</v>
      </c>
      <c r="J20" s="364">
        <f t="shared" ref="J20:K20" si="6">J19+B20+D20+F20+H20</f>
        <v>17209.50195</v>
      </c>
      <c r="K20" s="364">
        <f t="shared" si="6"/>
        <v>0</v>
      </c>
      <c r="L20" s="365">
        <f t="shared" si="7"/>
        <v>17209.50195</v>
      </c>
    </row>
    <row r="21" ht="12.75" customHeight="1">
      <c r="A21" s="36" t="s">
        <v>152</v>
      </c>
      <c r="B21" s="362">
        <f t="shared" si="2"/>
        <v>774.4275879</v>
      </c>
      <c r="C21" s="363">
        <v>0.0</v>
      </c>
      <c r="D21" s="364">
        <f t="shared" si="3"/>
        <v>5507.040625</v>
      </c>
      <c r="E21" s="363">
        <v>0.0</v>
      </c>
      <c r="F21" s="364">
        <f t="shared" si="4"/>
        <v>774.4275879</v>
      </c>
      <c r="G21" s="363">
        <v>0.0</v>
      </c>
      <c r="H21" s="364">
        <f t="shared" si="5"/>
        <v>1548.855176</v>
      </c>
      <c r="I21" s="363">
        <v>0.0</v>
      </c>
      <c r="J21" s="364">
        <f t="shared" ref="J21:K21" si="8">J20+B21+D21+F21+H21</f>
        <v>25814.25293</v>
      </c>
      <c r="K21" s="364">
        <f t="shared" si="8"/>
        <v>0</v>
      </c>
      <c r="L21" s="365">
        <f t="shared" si="7"/>
        <v>25814.25293</v>
      </c>
    </row>
    <row r="22" ht="12.75" customHeight="1">
      <c r="A22" s="36" t="s">
        <v>153</v>
      </c>
      <c r="B22" s="362">
        <f t="shared" si="2"/>
        <v>774.4275879</v>
      </c>
      <c r="C22" s="363">
        <v>0.0</v>
      </c>
      <c r="D22" s="364">
        <f t="shared" si="3"/>
        <v>5507.040625</v>
      </c>
      <c r="E22" s="363">
        <v>0.0</v>
      </c>
      <c r="F22" s="364">
        <f t="shared" si="4"/>
        <v>774.4275879</v>
      </c>
      <c r="G22" s="363">
        <v>0.0</v>
      </c>
      <c r="H22" s="364">
        <f t="shared" si="5"/>
        <v>1548.855176</v>
      </c>
      <c r="I22" s="363">
        <v>0.0</v>
      </c>
      <c r="J22" s="364">
        <f t="shared" ref="J22:K22" si="9">J21+B22+D22+F22+H22</f>
        <v>34419.00391</v>
      </c>
      <c r="K22" s="364">
        <f t="shared" si="9"/>
        <v>0</v>
      </c>
      <c r="L22" s="365">
        <f t="shared" si="7"/>
        <v>34419.00391</v>
      </c>
    </row>
    <row r="23" ht="12.75" customHeight="1">
      <c r="A23" s="36" t="s">
        <v>154</v>
      </c>
      <c r="B23" s="362">
        <f t="shared" si="2"/>
        <v>774.4275879</v>
      </c>
      <c r="C23" s="363">
        <v>0.0</v>
      </c>
      <c r="D23" s="364">
        <f t="shared" si="3"/>
        <v>5507.040625</v>
      </c>
      <c r="E23" s="363">
        <v>0.0</v>
      </c>
      <c r="F23" s="364">
        <f t="shared" si="4"/>
        <v>774.4275879</v>
      </c>
      <c r="G23" s="363">
        <v>0.0</v>
      </c>
      <c r="H23" s="364">
        <f t="shared" si="5"/>
        <v>1548.855176</v>
      </c>
      <c r="I23" s="363">
        <v>0.0</v>
      </c>
      <c r="J23" s="364">
        <f t="shared" ref="J23:K23" si="10">J22+B23+D23+F23+H23</f>
        <v>43023.75488</v>
      </c>
      <c r="K23" s="364">
        <f t="shared" si="10"/>
        <v>0</v>
      </c>
      <c r="L23" s="365">
        <f t="shared" si="7"/>
        <v>43023.75488</v>
      </c>
    </row>
    <row r="24" ht="12.75" customHeight="1">
      <c r="A24" s="36" t="s">
        <v>155</v>
      </c>
      <c r="B24" s="362">
        <f t="shared" si="2"/>
        <v>774.4275879</v>
      </c>
      <c r="C24" s="363">
        <v>0.0</v>
      </c>
      <c r="D24" s="364">
        <f t="shared" si="3"/>
        <v>5507.040625</v>
      </c>
      <c r="E24" s="363">
        <v>0.0</v>
      </c>
      <c r="F24" s="364">
        <f t="shared" si="4"/>
        <v>774.4275879</v>
      </c>
      <c r="G24" s="363">
        <v>0.0</v>
      </c>
      <c r="H24" s="364">
        <f t="shared" si="5"/>
        <v>1548.855176</v>
      </c>
      <c r="I24" s="363">
        <v>0.0</v>
      </c>
      <c r="J24" s="364">
        <f t="shared" ref="J24:K24" si="11">J23+B24+D24+F24+H24</f>
        <v>51628.50586</v>
      </c>
      <c r="K24" s="364">
        <f t="shared" si="11"/>
        <v>0</v>
      </c>
      <c r="L24" s="365">
        <f t="shared" si="7"/>
        <v>51628.50586</v>
      </c>
    </row>
    <row r="25" ht="12.75" customHeight="1">
      <c r="A25" s="36" t="s">
        <v>156</v>
      </c>
      <c r="B25" s="362">
        <f t="shared" si="2"/>
        <v>774.4275879</v>
      </c>
      <c r="C25" s="363">
        <v>0.0</v>
      </c>
      <c r="D25" s="364">
        <f t="shared" si="3"/>
        <v>5507.040625</v>
      </c>
      <c r="E25" s="363">
        <v>0.0</v>
      </c>
      <c r="F25" s="364">
        <f t="shared" si="4"/>
        <v>774.4275879</v>
      </c>
      <c r="G25" s="363">
        <v>0.0</v>
      </c>
      <c r="H25" s="364">
        <f t="shared" si="5"/>
        <v>1548.855176</v>
      </c>
      <c r="I25" s="363">
        <v>0.0</v>
      </c>
      <c r="J25" s="364">
        <f t="shared" ref="J25:K25" si="12">J24+B25+D25+F25+H25</f>
        <v>60233.25683</v>
      </c>
      <c r="K25" s="364">
        <f t="shared" si="12"/>
        <v>0</v>
      </c>
      <c r="L25" s="365">
        <f t="shared" si="7"/>
        <v>60233.25683</v>
      </c>
    </row>
    <row r="26" ht="12.75" customHeight="1">
      <c r="A26" s="36" t="s">
        <v>157</v>
      </c>
      <c r="B26" s="362">
        <f t="shared" si="2"/>
        <v>774.4275879</v>
      </c>
      <c r="C26" s="363">
        <v>0.0</v>
      </c>
      <c r="D26" s="364">
        <f t="shared" si="3"/>
        <v>5507.040625</v>
      </c>
      <c r="E26" s="363">
        <v>0.0</v>
      </c>
      <c r="F26" s="364">
        <f t="shared" si="4"/>
        <v>774.4275879</v>
      </c>
      <c r="G26" s="363">
        <v>0.0</v>
      </c>
      <c r="H26" s="364">
        <f t="shared" si="5"/>
        <v>1548.855176</v>
      </c>
      <c r="I26" s="363">
        <v>0.0</v>
      </c>
      <c r="J26" s="364">
        <f t="shared" ref="J26:K26" si="13">J25+B26+D26+F26+H26</f>
        <v>68838.00781</v>
      </c>
      <c r="K26" s="364">
        <f t="shared" si="13"/>
        <v>0</v>
      </c>
      <c r="L26" s="365">
        <f t="shared" si="7"/>
        <v>68838.00781</v>
      </c>
    </row>
    <row r="27" ht="12.75" customHeight="1">
      <c r="A27" s="36" t="s">
        <v>158</v>
      </c>
      <c r="B27" s="362">
        <f t="shared" si="2"/>
        <v>774.4275879</v>
      </c>
      <c r="C27" s="363">
        <v>0.0</v>
      </c>
      <c r="D27" s="364">
        <f t="shared" si="3"/>
        <v>5507.040625</v>
      </c>
      <c r="E27" s="363">
        <v>0.0</v>
      </c>
      <c r="F27" s="364">
        <f t="shared" si="4"/>
        <v>774.4275879</v>
      </c>
      <c r="G27" s="363">
        <v>0.0</v>
      </c>
      <c r="H27" s="364">
        <f t="shared" si="5"/>
        <v>1548.855176</v>
      </c>
      <c r="I27" s="363">
        <v>0.0</v>
      </c>
      <c r="J27" s="364">
        <f t="shared" ref="J27:K27" si="14">J26+B27+D27+F27+H27</f>
        <v>77442.75879</v>
      </c>
      <c r="K27" s="364">
        <f t="shared" si="14"/>
        <v>0</v>
      </c>
      <c r="L27" s="365">
        <f t="shared" si="7"/>
        <v>77442.75879</v>
      </c>
    </row>
    <row r="28" ht="12.75" customHeight="1">
      <c r="A28" s="36" t="s">
        <v>159</v>
      </c>
      <c r="B28" s="362">
        <f t="shared" si="2"/>
        <v>774.4275879</v>
      </c>
      <c r="C28" s="363">
        <v>0.0</v>
      </c>
      <c r="D28" s="364">
        <f t="shared" si="3"/>
        <v>5507.040625</v>
      </c>
      <c r="E28" s="363">
        <v>0.0</v>
      </c>
      <c r="F28" s="364">
        <f t="shared" si="4"/>
        <v>774.4275879</v>
      </c>
      <c r="G28" s="363">
        <v>0.0</v>
      </c>
      <c r="H28" s="364">
        <f t="shared" si="5"/>
        <v>1548.855176</v>
      </c>
      <c r="I28" s="363">
        <v>0.0</v>
      </c>
      <c r="J28" s="364">
        <f t="shared" ref="J28:K28" si="15">J27+B28+D28+F28+H28</f>
        <v>86047.50976</v>
      </c>
      <c r="K28" s="364">
        <f t="shared" si="15"/>
        <v>0</v>
      </c>
      <c r="L28" s="365">
        <f t="shared" si="7"/>
        <v>86047.50976</v>
      </c>
    </row>
    <row r="29" ht="12.75" customHeight="1">
      <c r="A29" s="36" t="s">
        <v>160</v>
      </c>
      <c r="B29" s="362">
        <f t="shared" si="2"/>
        <v>774.4275879</v>
      </c>
      <c r="C29" s="363">
        <v>0.0</v>
      </c>
      <c r="D29" s="364">
        <f t="shared" si="3"/>
        <v>5507.040625</v>
      </c>
      <c r="E29" s="363">
        <v>0.0</v>
      </c>
      <c r="F29" s="364">
        <f t="shared" si="4"/>
        <v>774.4275879</v>
      </c>
      <c r="G29" s="363">
        <v>0.0</v>
      </c>
      <c r="H29" s="364">
        <f t="shared" si="5"/>
        <v>1548.855176</v>
      </c>
      <c r="I29" s="363">
        <v>0.0</v>
      </c>
      <c r="J29" s="364">
        <f t="shared" ref="J29:K29" si="16">J28+B29+D29+F29+H29</f>
        <v>94652.26074</v>
      </c>
      <c r="K29" s="364">
        <f t="shared" si="16"/>
        <v>0</v>
      </c>
      <c r="L29" s="365">
        <f t="shared" si="7"/>
        <v>94652.26074</v>
      </c>
    </row>
    <row r="30" ht="12.75" customHeight="1">
      <c r="A30" s="36" t="s">
        <v>161</v>
      </c>
      <c r="B30" s="362">
        <f t="shared" si="2"/>
        <v>774.4275879</v>
      </c>
      <c r="C30" s="363">
        <v>0.0</v>
      </c>
      <c r="D30" s="364">
        <f t="shared" si="3"/>
        <v>5507.040625</v>
      </c>
      <c r="E30" s="363">
        <v>0.0</v>
      </c>
      <c r="F30" s="364">
        <f t="shared" si="4"/>
        <v>774.4275879</v>
      </c>
      <c r="G30" s="363">
        <v>0.0</v>
      </c>
      <c r="H30" s="364">
        <f t="shared" si="5"/>
        <v>1548.855176</v>
      </c>
      <c r="I30" s="363">
        <v>0.0</v>
      </c>
      <c r="J30" s="364">
        <f t="shared" ref="J30:K30" si="17">J29+B30+D30+F30+H30</f>
        <v>103257.0117</v>
      </c>
      <c r="K30" s="364">
        <f t="shared" si="17"/>
        <v>0</v>
      </c>
      <c r="L30" s="365">
        <f t="shared" si="7"/>
        <v>103257.0117</v>
      </c>
    </row>
    <row r="31" ht="12.75" customHeight="1">
      <c r="A31" s="36" t="s">
        <v>162</v>
      </c>
      <c r="B31" s="362">
        <f t="shared" si="2"/>
        <v>774.4275879</v>
      </c>
      <c r="C31" s="363">
        <v>0.0</v>
      </c>
      <c r="D31" s="364">
        <f t="shared" si="3"/>
        <v>5507.040625</v>
      </c>
      <c r="E31" s="363">
        <v>0.0</v>
      </c>
      <c r="F31" s="364">
        <f t="shared" si="4"/>
        <v>774.4275879</v>
      </c>
      <c r="G31" s="363">
        <v>0.0</v>
      </c>
      <c r="H31" s="364">
        <f t="shared" si="5"/>
        <v>1548.855176</v>
      </c>
      <c r="I31" s="363">
        <v>0.0</v>
      </c>
      <c r="J31" s="364">
        <f t="shared" ref="J31:K31" si="18">J30+B31+D31+F31+H31</f>
        <v>111861.7627</v>
      </c>
      <c r="K31" s="364">
        <f t="shared" si="18"/>
        <v>0</v>
      </c>
      <c r="L31" s="365">
        <f t="shared" si="7"/>
        <v>111861.7627</v>
      </c>
    </row>
    <row r="32" ht="12.75" customHeight="1">
      <c r="A32" s="36" t="s">
        <v>163</v>
      </c>
      <c r="B32" s="362">
        <f t="shared" si="2"/>
        <v>774.4275879</v>
      </c>
      <c r="C32" s="363">
        <v>0.0</v>
      </c>
      <c r="D32" s="364">
        <f t="shared" si="3"/>
        <v>5507.040625</v>
      </c>
      <c r="E32" s="363">
        <v>0.0</v>
      </c>
      <c r="F32" s="364">
        <f t="shared" si="4"/>
        <v>774.4275879</v>
      </c>
      <c r="G32" s="363">
        <v>0.0</v>
      </c>
      <c r="H32" s="364">
        <f t="shared" si="5"/>
        <v>1548.855176</v>
      </c>
      <c r="I32" s="363">
        <v>0.0</v>
      </c>
      <c r="J32" s="364">
        <f t="shared" ref="J32:K32" si="19">J31+B32+D32+F32+H32</f>
        <v>120466.5137</v>
      </c>
      <c r="K32" s="364">
        <f t="shared" si="19"/>
        <v>0</v>
      </c>
      <c r="L32" s="365">
        <f t="shared" si="7"/>
        <v>120466.5137</v>
      </c>
    </row>
    <row r="33" ht="12.75" customHeight="1">
      <c r="A33" s="36" t="s">
        <v>164</v>
      </c>
      <c r="B33" s="362">
        <f t="shared" si="2"/>
        <v>774.4275879</v>
      </c>
      <c r="C33" s="363">
        <v>0.0</v>
      </c>
      <c r="D33" s="364">
        <f t="shared" si="3"/>
        <v>5507.040625</v>
      </c>
      <c r="E33" s="363">
        <v>0.0</v>
      </c>
      <c r="F33" s="364">
        <f t="shared" si="4"/>
        <v>774.4275879</v>
      </c>
      <c r="G33" s="363">
        <v>0.0</v>
      </c>
      <c r="H33" s="364">
        <f t="shared" si="5"/>
        <v>1548.855176</v>
      </c>
      <c r="I33" s="363">
        <v>0.0</v>
      </c>
      <c r="J33" s="364">
        <f t="shared" ref="J33:K33" si="20">J32+B33+D33+F33+H33</f>
        <v>129071.2646</v>
      </c>
      <c r="K33" s="364">
        <f t="shared" si="20"/>
        <v>0</v>
      </c>
      <c r="L33" s="365">
        <f t="shared" si="7"/>
        <v>129071.2646</v>
      </c>
    </row>
    <row r="34" ht="12.75" customHeight="1">
      <c r="A34" s="36" t="s">
        <v>165</v>
      </c>
      <c r="B34" s="362">
        <f t="shared" si="2"/>
        <v>774.4275879</v>
      </c>
      <c r="C34" s="363">
        <v>0.0</v>
      </c>
      <c r="D34" s="364">
        <f t="shared" si="3"/>
        <v>5507.040625</v>
      </c>
      <c r="E34" s="363">
        <v>0.0</v>
      </c>
      <c r="F34" s="364">
        <f t="shared" si="4"/>
        <v>774.4275879</v>
      </c>
      <c r="G34" s="363">
        <v>0.0</v>
      </c>
      <c r="H34" s="364">
        <f t="shared" si="5"/>
        <v>1548.855176</v>
      </c>
      <c r="I34" s="363">
        <v>0.0</v>
      </c>
      <c r="J34" s="364">
        <f t="shared" ref="J34:K34" si="21">J33+B34+D34+F34+H34</f>
        <v>137676.0156</v>
      </c>
      <c r="K34" s="364">
        <f t="shared" si="21"/>
        <v>0</v>
      </c>
      <c r="L34" s="365">
        <f t="shared" si="7"/>
        <v>137676.0156</v>
      </c>
    </row>
    <row r="35" ht="12.75" customHeight="1">
      <c r="A35" s="36" t="s">
        <v>166</v>
      </c>
      <c r="B35" s="362">
        <f t="shared" si="2"/>
        <v>774.4275879</v>
      </c>
      <c r="C35" s="363">
        <v>0.0</v>
      </c>
      <c r="D35" s="364">
        <f t="shared" si="3"/>
        <v>5507.040625</v>
      </c>
      <c r="E35" s="363">
        <v>0.0</v>
      </c>
      <c r="F35" s="364">
        <f t="shared" si="4"/>
        <v>774.4275879</v>
      </c>
      <c r="G35" s="363">
        <v>0.0</v>
      </c>
      <c r="H35" s="364">
        <f t="shared" si="5"/>
        <v>1548.855176</v>
      </c>
      <c r="I35" s="363">
        <v>0.0</v>
      </c>
      <c r="J35" s="364">
        <f t="shared" ref="J35:K35" si="22">J34+B35+D35+F35+H35</f>
        <v>146280.7666</v>
      </c>
      <c r="K35" s="364">
        <f t="shared" si="22"/>
        <v>0</v>
      </c>
      <c r="L35" s="365">
        <f t="shared" si="7"/>
        <v>146280.7666</v>
      </c>
    </row>
    <row r="36" ht="12.75" customHeight="1">
      <c r="A36" s="36" t="s">
        <v>167</v>
      </c>
      <c r="B36" s="362">
        <f t="shared" si="2"/>
        <v>774.4275879</v>
      </c>
      <c r="C36" s="363">
        <v>0.0</v>
      </c>
      <c r="D36" s="364">
        <f t="shared" si="3"/>
        <v>5507.040625</v>
      </c>
      <c r="E36" s="363">
        <v>0.0</v>
      </c>
      <c r="F36" s="364">
        <f t="shared" si="4"/>
        <v>774.4275879</v>
      </c>
      <c r="G36" s="363">
        <v>0.0</v>
      </c>
      <c r="H36" s="364">
        <f t="shared" si="5"/>
        <v>1548.855176</v>
      </c>
      <c r="I36" s="363">
        <v>0.0</v>
      </c>
      <c r="J36" s="364">
        <f t="shared" ref="J36:K36" si="23">J35+B36+D36+F36+H36</f>
        <v>154885.5176</v>
      </c>
      <c r="K36" s="364">
        <f t="shared" si="23"/>
        <v>0</v>
      </c>
      <c r="L36" s="365">
        <f t="shared" si="7"/>
        <v>154885.5176</v>
      </c>
    </row>
    <row r="37" ht="12.75" customHeight="1">
      <c r="A37" s="36" t="s">
        <v>168</v>
      </c>
      <c r="B37" s="362">
        <f t="shared" si="2"/>
        <v>774.4275879</v>
      </c>
      <c r="C37" s="363">
        <v>0.0</v>
      </c>
      <c r="D37" s="364">
        <f t="shared" si="3"/>
        <v>5507.040625</v>
      </c>
      <c r="E37" s="363">
        <v>0.0</v>
      </c>
      <c r="F37" s="364">
        <f t="shared" si="4"/>
        <v>774.4275879</v>
      </c>
      <c r="G37" s="363">
        <v>0.0</v>
      </c>
      <c r="H37" s="364">
        <f t="shared" si="5"/>
        <v>1548.855176</v>
      </c>
      <c r="I37" s="363">
        <v>0.0</v>
      </c>
      <c r="J37" s="364">
        <f t="shared" ref="J37:K37" si="24">J36+B37+D37+F37+H37</f>
        <v>163490.2686</v>
      </c>
      <c r="K37" s="364">
        <f t="shared" si="24"/>
        <v>0</v>
      </c>
      <c r="L37" s="365">
        <f t="shared" si="7"/>
        <v>163490.2686</v>
      </c>
    </row>
    <row r="38" ht="12.75" customHeight="1">
      <c r="A38" s="36" t="s">
        <v>169</v>
      </c>
      <c r="B38" s="362">
        <f t="shared" si="2"/>
        <v>774.4275879</v>
      </c>
      <c r="C38" s="363">
        <v>0.0</v>
      </c>
      <c r="D38" s="364">
        <f t="shared" si="3"/>
        <v>5507.040625</v>
      </c>
      <c r="E38" s="363">
        <v>0.0</v>
      </c>
      <c r="F38" s="364">
        <f t="shared" si="4"/>
        <v>774.4275879</v>
      </c>
      <c r="G38" s="363">
        <v>0.0</v>
      </c>
      <c r="H38" s="364">
        <f t="shared" si="5"/>
        <v>1548.855176</v>
      </c>
      <c r="I38" s="363">
        <v>0.0</v>
      </c>
      <c r="J38" s="364">
        <f t="shared" ref="J38:K38" si="25">J37+B38+D38+F38+H38</f>
        <v>172095.0195</v>
      </c>
      <c r="K38" s="364">
        <f t="shared" si="25"/>
        <v>0</v>
      </c>
      <c r="L38" s="365">
        <f t="shared" si="7"/>
        <v>172095.0195</v>
      </c>
    </row>
    <row r="39" ht="12.75" customHeight="1">
      <c r="A39" s="36" t="s">
        <v>170</v>
      </c>
      <c r="B39" s="362">
        <f t="shared" si="2"/>
        <v>774.4275879</v>
      </c>
      <c r="C39" s="363">
        <v>0.0</v>
      </c>
      <c r="D39" s="364">
        <f t="shared" si="3"/>
        <v>5507.040625</v>
      </c>
      <c r="E39" s="363">
        <v>0.0</v>
      </c>
      <c r="F39" s="364">
        <f t="shared" si="4"/>
        <v>774.4275879</v>
      </c>
      <c r="G39" s="363">
        <v>0.0</v>
      </c>
      <c r="H39" s="364">
        <f t="shared" si="5"/>
        <v>1548.855176</v>
      </c>
      <c r="I39" s="363">
        <v>0.0</v>
      </c>
      <c r="J39" s="364">
        <f t="shared" ref="J39:K39" si="26">J38+B39+D39+F39+H39</f>
        <v>180699.7705</v>
      </c>
      <c r="K39" s="364">
        <f t="shared" si="26"/>
        <v>0</v>
      </c>
      <c r="L39" s="365">
        <f t="shared" si="7"/>
        <v>180699.7705</v>
      </c>
    </row>
    <row r="40" ht="12.75" customHeight="1">
      <c r="A40" s="36" t="s">
        <v>171</v>
      </c>
      <c r="B40" s="362">
        <f t="shared" si="2"/>
        <v>774.4275879</v>
      </c>
      <c r="C40" s="363">
        <v>0.0</v>
      </c>
      <c r="D40" s="364">
        <f t="shared" si="3"/>
        <v>5507.040625</v>
      </c>
      <c r="E40" s="363">
        <v>0.0</v>
      </c>
      <c r="F40" s="364">
        <f t="shared" si="4"/>
        <v>774.4275879</v>
      </c>
      <c r="G40" s="363">
        <v>0.0</v>
      </c>
      <c r="H40" s="364">
        <f t="shared" si="5"/>
        <v>1548.855176</v>
      </c>
      <c r="I40" s="363">
        <v>0.0</v>
      </c>
      <c r="J40" s="364">
        <f t="shared" ref="J40:K40" si="27">J39+B40+D40+F40+H40</f>
        <v>189304.5215</v>
      </c>
      <c r="K40" s="364">
        <f t="shared" si="27"/>
        <v>0</v>
      </c>
      <c r="L40" s="365">
        <f t="shared" si="7"/>
        <v>189304.5215</v>
      </c>
    </row>
    <row r="41" ht="12.75" customHeight="1">
      <c r="A41" s="36" t="s">
        <v>172</v>
      </c>
      <c r="B41" s="362">
        <f t="shared" si="2"/>
        <v>774.4275879</v>
      </c>
      <c r="C41" s="363">
        <v>0.0</v>
      </c>
      <c r="D41" s="364">
        <f t="shared" si="3"/>
        <v>5507.040625</v>
      </c>
      <c r="E41" s="363">
        <v>0.0</v>
      </c>
      <c r="F41" s="364">
        <f t="shared" si="4"/>
        <v>774.4275879</v>
      </c>
      <c r="G41" s="363">
        <v>0.0</v>
      </c>
      <c r="H41" s="364">
        <f t="shared" si="5"/>
        <v>1548.855176</v>
      </c>
      <c r="I41" s="363">
        <v>0.0</v>
      </c>
      <c r="J41" s="364">
        <f t="shared" ref="J41:K41" si="28">J40+B41+D41+F41+H41</f>
        <v>197909.2725</v>
      </c>
      <c r="K41" s="364">
        <f t="shared" si="28"/>
        <v>0</v>
      </c>
      <c r="L41" s="365">
        <f t="shared" si="7"/>
        <v>197909.2725</v>
      </c>
    </row>
    <row r="42" ht="12.75" customHeight="1">
      <c r="A42" s="36" t="s">
        <v>173</v>
      </c>
      <c r="B42" s="362">
        <f t="shared" si="2"/>
        <v>774.4275879</v>
      </c>
      <c r="C42" s="363">
        <v>0.0</v>
      </c>
      <c r="D42" s="364">
        <f t="shared" si="3"/>
        <v>5507.040625</v>
      </c>
      <c r="E42" s="363">
        <v>0.0</v>
      </c>
      <c r="F42" s="364">
        <f t="shared" si="4"/>
        <v>774.4275879</v>
      </c>
      <c r="G42" s="363">
        <v>0.0</v>
      </c>
      <c r="H42" s="364">
        <f t="shared" si="5"/>
        <v>1548.855176</v>
      </c>
      <c r="I42" s="363">
        <v>0.0</v>
      </c>
      <c r="J42" s="364">
        <f t="shared" ref="J42:K42" si="29">J41+B42+D42+F42+H42</f>
        <v>206514.0234</v>
      </c>
      <c r="K42" s="364">
        <f t="shared" si="29"/>
        <v>0</v>
      </c>
      <c r="L42" s="365">
        <f t="shared" si="7"/>
        <v>206514.0234</v>
      </c>
    </row>
    <row r="43" ht="12.75" customHeight="1">
      <c r="A43" s="36" t="s">
        <v>174</v>
      </c>
      <c r="B43" s="362">
        <f t="shared" si="2"/>
        <v>774.4275879</v>
      </c>
      <c r="C43" s="363">
        <v>0.0</v>
      </c>
      <c r="D43" s="364">
        <f t="shared" si="3"/>
        <v>5507.040625</v>
      </c>
      <c r="E43" s="363">
        <v>0.0</v>
      </c>
      <c r="F43" s="364">
        <f t="shared" si="4"/>
        <v>774.4275879</v>
      </c>
      <c r="G43" s="363">
        <v>0.0</v>
      </c>
      <c r="H43" s="364">
        <f t="shared" si="5"/>
        <v>1548.855176</v>
      </c>
      <c r="I43" s="363">
        <v>0.0</v>
      </c>
      <c r="J43" s="364">
        <f t="shared" ref="J43:K43" si="30">J42+B43+D43+F43+H43</f>
        <v>215118.7744</v>
      </c>
      <c r="K43" s="364">
        <f t="shared" si="30"/>
        <v>0</v>
      </c>
      <c r="L43" s="365">
        <f t="shared" si="7"/>
        <v>215118.7744</v>
      </c>
    </row>
    <row r="44" ht="12.75" customHeight="1">
      <c r="A44" s="36" t="s">
        <v>175</v>
      </c>
      <c r="B44" s="362">
        <f t="shared" si="2"/>
        <v>774.4275879</v>
      </c>
      <c r="C44" s="363">
        <v>0.0</v>
      </c>
      <c r="D44" s="364">
        <f t="shared" si="3"/>
        <v>5507.040625</v>
      </c>
      <c r="E44" s="363">
        <v>0.0</v>
      </c>
      <c r="F44" s="364">
        <f t="shared" si="4"/>
        <v>774.4275879</v>
      </c>
      <c r="G44" s="363">
        <v>0.0</v>
      </c>
      <c r="H44" s="364">
        <f t="shared" si="5"/>
        <v>1548.855176</v>
      </c>
      <c r="I44" s="363">
        <v>0.0</v>
      </c>
      <c r="J44" s="364">
        <f t="shared" ref="J44:K44" si="31">J43+B44+D44+F44+H44</f>
        <v>223723.5254</v>
      </c>
      <c r="K44" s="364">
        <f t="shared" si="31"/>
        <v>0</v>
      </c>
      <c r="L44" s="365">
        <f t="shared" si="7"/>
        <v>223723.5254</v>
      </c>
    </row>
    <row r="45" ht="12.75" customHeight="1">
      <c r="A45" s="36" t="s">
        <v>176</v>
      </c>
      <c r="B45" s="367">
        <f t="shared" si="2"/>
        <v>774.4275879</v>
      </c>
      <c r="C45" s="368">
        <v>0.0</v>
      </c>
      <c r="D45" s="369">
        <f t="shared" si="3"/>
        <v>5507.040625</v>
      </c>
      <c r="E45" s="368">
        <v>0.0</v>
      </c>
      <c r="F45" s="369">
        <f t="shared" si="4"/>
        <v>774.4275879</v>
      </c>
      <c r="G45" s="368">
        <v>0.0</v>
      </c>
      <c r="H45" s="369">
        <f t="shared" si="5"/>
        <v>1548.855176</v>
      </c>
      <c r="I45" s="368">
        <v>0.0</v>
      </c>
      <c r="J45" s="369">
        <f t="shared" ref="J45:K45" si="32">J44+B45+D45+F45+H45</f>
        <v>232328.2764</v>
      </c>
      <c r="K45" s="369">
        <f t="shared" si="32"/>
        <v>0</v>
      </c>
      <c r="L45" s="370">
        <f t="shared" si="7"/>
        <v>232328.2764</v>
      </c>
    </row>
    <row r="46" ht="12.75" customHeight="1"/>
    <row r="47" ht="12.75" customHeight="1"/>
    <row r="48" ht="12.75" customHeight="1">
      <c r="A48" s="371" t="s">
        <v>177</v>
      </c>
      <c r="B48" s="108"/>
      <c r="C48" s="372" t="s">
        <v>178</v>
      </c>
      <c r="D48" s="373" t="s">
        <v>179</v>
      </c>
      <c r="E48" s="373" t="s">
        <v>180</v>
      </c>
      <c r="F48" s="374" t="s">
        <v>181</v>
      </c>
    </row>
    <row r="49" ht="14.25" customHeight="1">
      <c r="A49" s="375"/>
      <c r="B49" s="376"/>
      <c r="C49" s="377"/>
      <c r="D49" s="377"/>
      <c r="E49" s="377"/>
      <c r="F49" s="378"/>
    </row>
    <row r="50" ht="14.25" customHeight="1">
      <c r="A50" s="379"/>
      <c r="B50" s="380"/>
      <c r="C50" s="381"/>
      <c r="D50" s="381"/>
      <c r="E50" s="381"/>
      <c r="F50" s="382"/>
    </row>
    <row r="51" ht="14.25" customHeight="1">
      <c r="A51" s="379"/>
      <c r="B51" s="380"/>
      <c r="C51" s="381"/>
      <c r="D51" s="381"/>
      <c r="E51" s="381"/>
      <c r="F51" s="382"/>
    </row>
    <row r="52" ht="14.25" customHeight="1">
      <c r="A52" s="379"/>
      <c r="B52" s="380"/>
      <c r="C52" s="381"/>
      <c r="D52" s="381"/>
      <c r="E52" s="381"/>
      <c r="F52" s="382"/>
    </row>
    <row r="53" ht="14.25" customHeight="1">
      <c r="A53" s="379"/>
      <c r="B53" s="380"/>
      <c r="C53" s="381"/>
      <c r="D53" s="381"/>
      <c r="E53" s="381"/>
      <c r="F53" s="382"/>
    </row>
    <row r="54" ht="14.25" customHeight="1">
      <c r="A54" s="379"/>
      <c r="B54" s="380"/>
      <c r="C54" s="381"/>
      <c r="D54" s="381"/>
      <c r="E54" s="381"/>
      <c r="F54" s="382"/>
    </row>
    <row r="55" ht="14.25" customHeight="1">
      <c r="A55" s="379"/>
      <c r="B55" s="380"/>
      <c r="C55" s="381"/>
      <c r="D55" s="381"/>
      <c r="E55" s="381"/>
      <c r="F55" s="382"/>
    </row>
    <row r="56" ht="14.25" customHeight="1">
      <c r="A56" s="379"/>
      <c r="B56" s="380"/>
      <c r="C56" s="381"/>
      <c r="D56" s="381"/>
      <c r="E56" s="381"/>
      <c r="F56" s="382"/>
    </row>
    <row r="57" ht="14.25" customHeight="1">
      <c r="A57" s="379"/>
      <c r="B57" s="380"/>
      <c r="C57" s="381"/>
      <c r="D57" s="381"/>
      <c r="E57" s="381"/>
      <c r="F57" s="382"/>
    </row>
    <row r="58" ht="14.25" customHeight="1">
      <c r="A58" s="379"/>
      <c r="B58" s="380"/>
      <c r="C58" s="381"/>
      <c r="D58" s="381"/>
      <c r="E58" s="381"/>
      <c r="F58" s="382"/>
    </row>
    <row r="59" ht="14.25" customHeight="1">
      <c r="A59" s="379"/>
      <c r="B59" s="380"/>
      <c r="C59" s="381"/>
      <c r="D59" s="381"/>
      <c r="E59" s="381"/>
      <c r="F59" s="382"/>
    </row>
    <row r="60" ht="14.25" customHeight="1">
      <c r="A60" s="379"/>
      <c r="B60" s="380"/>
      <c r="C60" s="381"/>
      <c r="D60" s="381"/>
      <c r="E60" s="381"/>
      <c r="F60" s="382"/>
    </row>
    <row r="61" ht="14.25" customHeight="1">
      <c r="A61" s="379"/>
      <c r="B61" s="380"/>
      <c r="C61" s="381"/>
      <c r="D61" s="381"/>
      <c r="E61" s="381"/>
      <c r="F61" s="382"/>
    </row>
    <row r="62" ht="14.25" customHeight="1">
      <c r="A62" s="379"/>
      <c r="B62" s="380"/>
      <c r="C62" s="381"/>
      <c r="D62" s="381"/>
      <c r="E62" s="381"/>
      <c r="F62" s="382"/>
    </row>
    <row r="63" ht="14.25" customHeight="1">
      <c r="A63" s="379"/>
      <c r="B63" s="380"/>
      <c r="C63" s="381"/>
      <c r="D63" s="381"/>
      <c r="E63" s="381"/>
      <c r="F63" s="382"/>
    </row>
    <row r="64" ht="14.25" customHeight="1">
      <c r="A64" s="379"/>
      <c r="B64" s="380"/>
      <c r="C64" s="381"/>
      <c r="D64" s="381"/>
      <c r="E64" s="381"/>
      <c r="F64" s="382"/>
    </row>
    <row r="65" ht="14.25" customHeight="1">
      <c r="A65" s="379"/>
      <c r="B65" s="380"/>
      <c r="C65" s="381"/>
      <c r="D65" s="381"/>
      <c r="E65" s="381"/>
      <c r="F65" s="382"/>
    </row>
    <row r="66" ht="14.25" customHeight="1">
      <c r="A66" s="379"/>
      <c r="B66" s="380"/>
      <c r="C66" s="381"/>
      <c r="D66" s="381"/>
      <c r="E66" s="381"/>
      <c r="F66" s="382"/>
    </row>
    <row r="67" ht="14.25" customHeight="1">
      <c r="A67" s="379"/>
      <c r="B67" s="380"/>
      <c r="C67" s="381"/>
      <c r="D67" s="381"/>
      <c r="E67" s="381"/>
      <c r="F67" s="382"/>
    </row>
    <row r="68" ht="14.25" customHeight="1">
      <c r="A68" s="379"/>
      <c r="B68" s="380"/>
      <c r="C68" s="381"/>
      <c r="D68" s="381"/>
      <c r="E68" s="381"/>
      <c r="F68" s="382"/>
    </row>
    <row r="69" ht="12.75" customHeight="1">
      <c r="A69" s="383"/>
      <c r="B69" s="384"/>
      <c r="C69" s="385"/>
      <c r="D69" s="385"/>
      <c r="E69" s="385"/>
      <c r="F69" s="386"/>
    </row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3">
    <mergeCell ref="J1:M1"/>
    <mergeCell ref="D2:E2"/>
    <mergeCell ref="D3:E3"/>
    <mergeCell ref="D4:E4"/>
    <mergeCell ref="D6:E6"/>
    <mergeCell ref="D7:E7"/>
    <mergeCell ref="D8:E8"/>
    <mergeCell ref="D10:E10"/>
    <mergeCell ref="D11:E11"/>
    <mergeCell ref="D12:E12"/>
    <mergeCell ref="D14:E14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65:B65"/>
    <mergeCell ref="A66:B66"/>
    <mergeCell ref="A67:B67"/>
    <mergeCell ref="A68:B68"/>
    <mergeCell ref="A69:B69"/>
    <mergeCell ref="A58:B58"/>
    <mergeCell ref="A59:B59"/>
    <mergeCell ref="A60:B60"/>
    <mergeCell ref="A61:B61"/>
    <mergeCell ref="A62:B62"/>
    <mergeCell ref="A63:B63"/>
    <mergeCell ref="A64:B64"/>
  </mergeCells>
  <conditionalFormatting sqref="K19:K45">
    <cfRule type="cellIs" dxfId="1" priority="1" operator="greaterThan">
      <formula>$B$3</formula>
    </cfRule>
  </conditionalFormatting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25"/>
    <col customWidth="1" min="2" max="2" width="20.13"/>
    <col customWidth="1" min="3" max="3" width="15.0"/>
    <col customWidth="1" min="4" max="4" width="15.63"/>
    <col customWidth="1" min="5" max="5" width="25.13"/>
    <col customWidth="1" min="6" max="6" width="18.25"/>
    <col customWidth="1" min="7" max="7" width="15.38"/>
    <col customWidth="1" min="8" max="8" width="23.75"/>
    <col customWidth="1" min="9" max="9" width="15.38"/>
    <col customWidth="1" min="10" max="10" width="14.38"/>
    <col customWidth="1" min="11" max="11" width="13.38"/>
    <col customWidth="1" min="12" max="12" width="17.75"/>
    <col customWidth="1" min="13" max="13" width="12.25"/>
    <col customWidth="1" min="14" max="26" width="8.63"/>
  </cols>
  <sheetData>
    <row r="1" ht="12.75" customHeight="1">
      <c r="A1" s="310" t="s">
        <v>194</v>
      </c>
      <c r="J1" s="389" t="s">
        <v>118</v>
      </c>
      <c r="K1" s="169"/>
      <c r="L1" s="169"/>
      <c r="M1" s="108"/>
    </row>
    <row r="2" ht="12.75" customHeight="1">
      <c r="D2" s="312" t="s">
        <v>119</v>
      </c>
      <c r="E2" s="167"/>
      <c r="F2" s="345">
        <f>'Input Data'!M12</f>
        <v>8500</v>
      </c>
      <c r="G2" s="346"/>
      <c r="H2" s="315" t="s">
        <v>187</v>
      </c>
      <c r="J2" s="392" t="s">
        <v>115</v>
      </c>
      <c r="K2" s="393" t="s">
        <v>87</v>
      </c>
      <c r="L2" s="393" t="s">
        <v>88</v>
      </c>
      <c r="M2" s="394" t="s">
        <v>86</v>
      </c>
    </row>
    <row r="3" ht="12.75" customHeight="1">
      <c r="A3" s="319" t="s">
        <v>121</v>
      </c>
      <c r="B3" s="320">
        <f>'Sales Goals'!I17</f>
        <v>168845.0634</v>
      </c>
      <c r="D3" s="321" t="s">
        <v>122</v>
      </c>
      <c r="E3" s="172"/>
      <c r="F3" s="348">
        <f>B3*B9</f>
        <v>108060.8406</v>
      </c>
      <c r="G3" s="349" t="s">
        <v>123</v>
      </c>
      <c r="H3" s="324">
        <f>'Input Data'!M13</f>
        <v>0.5</v>
      </c>
      <c r="I3" s="3"/>
      <c r="J3" s="325"/>
      <c r="K3" s="326"/>
      <c r="L3" s="326"/>
      <c r="M3" s="327"/>
    </row>
    <row r="4" ht="12.75" customHeight="1">
      <c r="B4" s="36"/>
      <c r="D4" s="328" t="s">
        <v>124</v>
      </c>
      <c r="E4" s="108"/>
      <c r="F4" s="387">
        <f>F3/F2</f>
        <v>12.71304007</v>
      </c>
      <c r="G4" s="330"/>
      <c r="H4" s="331">
        <f>F4/H3</f>
        <v>25.42608014</v>
      </c>
      <c r="I4" s="3"/>
      <c r="J4" s="325">
        <f>H4/'Input Data'!G30</f>
        <v>0.4622923661</v>
      </c>
      <c r="K4" s="326"/>
      <c r="L4" s="326"/>
      <c r="M4" s="327">
        <f>F4/'Input Data'!G34</f>
        <v>0.5778654576</v>
      </c>
    </row>
    <row r="5" ht="12.75" customHeight="1">
      <c r="A5" s="332" t="s">
        <v>125</v>
      </c>
      <c r="B5" s="320">
        <f>((B3/31)*7)/'Break-even'!C25</f>
        <v>7625.260928</v>
      </c>
      <c r="F5" s="36"/>
      <c r="G5" s="36"/>
      <c r="H5" s="36"/>
      <c r="J5" s="325"/>
      <c r="K5" s="326"/>
      <c r="L5" s="326"/>
      <c r="M5" s="327"/>
    </row>
    <row r="6" ht="12.75" customHeight="1">
      <c r="B6" s="36"/>
      <c r="D6" s="312" t="s">
        <v>126</v>
      </c>
      <c r="E6" s="167"/>
      <c r="F6" s="345">
        <f>'Input Data'!M16</f>
        <v>325</v>
      </c>
      <c r="G6" s="346"/>
      <c r="H6" s="333" t="s">
        <v>127</v>
      </c>
      <c r="J6" s="334"/>
      <c r="K6" s="326"/>
      <c r="L6" s="326"/>
      <c r="M6" s="327"/>
    </row>
    <row r="7" ht="12.75" customHeight="1">
      <c r="A7" s="335" t="s">
        <v>35</v>
      </c>
      <c r="B7" s="320">
        <f>Budget!C36</f>
        <v>4885.054388</v>
      </c>
      <c r="D7" s="321" t="s">
        <v>128</v>
      </c>
      <c r="E7" s="172"/>
      <c r="F7" s="348">
        <f>B3*B11</f>
        <v>13507.60507</v>
      </c>
      <c r="G7" s="349" t="s">
        <v>123</v>
      </c>
      <c r="H7" s="324">
        <f>'Input Data'!M17</f>
        <v>1</v>
      </c>
      <c r="J7" s="325"/>
      <c r="K7" s="336"/>
      <c r="L7" s="326"/>
      <c r="M7" s="327"/>
    </row>
    <row r="8" ht="12.75" customHeight="1">
      <c r="B8" s="36"/>
      <c r="D8" s="328" t="s">
        <v>129</v>
      </c>
      <c r="E8" s="108"/>
      <c r="F8" s="351">
        <f>F7/F6</f>
        <v>41.56186176</v>
      </c>
      <c r="G8" s="330"/>
      <c r="H8" s="338">
        <f> F8/H7</f>
        <v>41.56186176</v>
      </c>
      <c r="J8" s="325"/>
      <c r="K8" s="326">
        <f>H8/'Input Data'!G31</f>
        <v>0.6297251782</v>
      </c>
      <c r="L8" s="326"/>
      <c r="M8" s="327"/>
    </row>
    <row r="9" ht="12.75" customHeight="1">
      <c r="A9" s="339" t="s">
        <v>130</v>
      </c>
      <c r="B9" s="340">
        <f>'Input Data'!M6</f>
        <v>0.64</v>
      </c>
      <c r="F9" s="36"/>
      <c r="G9" s="36"/>
      <c r="H9" s="36"/>
      <c r="J9" s="325"/>
      <c r="K9" s="326"/>
      <c r="L9" s="326"/>
      <c r="M9" s="327"/>
    </row>
    <row r="10" ht="12.75" customHeight="1">
      <c r="B10" s="36"/>
      <c r="D10" s="312" t="s">
        <v>131</v>
      </c>
      <c r="E10" s="167"/>
      <c r="F10" s="345">
        <f>'Input Data'!M20</f>
        <v>125</v>
      </c>
      <c r="G10" s="346"/>
      <c r="H10" s="333" t="s">
        <v>127</v>
      </c>
      <c r="J10" s="325"/>
      <c r="K10" s="326"/>
      <c r="L10" s="326"/>
      <c r="M10" s="327"/>
    </row>
    <row r="11" ht="12.75" customHeight="1">
      <c r="A11" s="339" t="s">
        <v>132</v>
      </c>
      <c r="B11" s="340">
        <f>'Input Data'!M7</f>
        <v>0.08</v>
      </c>
      <c r="D11" s="321" t="s">
        <v>133</v>
      </c>
      <c r="E11" s="172"/>
      <c r="F11" s="348">
        <f>B3*B13</f>
        <v>16884.50634</v>
      </c>
      <c r="G11" s="349" t="s">
        <v>123</v>
      </c>
      <c r="H11" s="324">
        <f>'Input Data'!M21</f>
        <v>1</v>
      </c>
      <c r="J11" s="325"/>
      <c r="K11" s="326"/>
      <c r="L11" s="326"/>
      <c r="M11" s="327"/>
    </row>
    <row r="12" ht="12.75" customHeight="1">
      <c r="A12" s="278"/>
      <c r="B12" s="342"/>
      <c r="D12" s="328" t="s">
        <v>134</v>
      </c>
      <c r="E12" s="169"/>
      <c r="F12" s="351">
        <f>F11/F10</f>
        <v>135.0760507</v>
      </c>
      <c r="G12" s="330"/>
      <c r="H12" s="338">
        <f> F12/H11</f>
        <v>135.0760507</v>
      </c>
      <c r="J12" s="325"/>
      <c r="K12" s="326">
        <f>H12/'Input Data'!G32</f>
        <v>1.444663644</v>
      </c>
      <c r="L12" s="326"/>
      <c r="M12" s="327"/>
    </row>
    <row r="13" ht="12.75" customHeight="1">
      <c r="A13" s="328" t="s">
        <v>135</v>
      </c>
      <c r="B13" s="340">
        <f>'Input Data'!M8</f>
        <v>0.1</v>
      </c>
      <c r="J13" s="325"/>
      <c r="K13" s="326"/>
      <c r="L13" s="326"/>
      <c r="M13" s="327"/>
    </row>
    <row r="14" ht="12.75" customHeight="1">
      <c r="D14" s="312" t="s">
        <v>136</v>
      </c>
      <c r="E14" s="79"/>
      <c r="F14" s="345">
        <f>'Input Data'!M24</f>
        <v>750</v>
      </c>
      <c r="G14" s="346"/>
      <c r="H14" s="333" t="s">
        <v>127</v>
      </c>
      <c r="J14" s="325"/>
      <c r="K14" s="326"/>
      <c r="L14" s="326"/>
      <c r="M14" s="327"/>
    </row>
    <row r="15" ht="12.75" customHeight="1">
      <c r="A15" s="328" t="s">
        <v>137</v>
      </c>
      <c r="B15" s="324">
        <f>'Input Data'!M9</f>
        <v>0.18</v>
      </c>
      <c r="D15" s="347" t="s">
        <v>128</v>
      </c>
      <c r="E15" s="165"/>
      <c r="F15" s="348">
        <f>B3*B15</f>
        <v>30392.11141</v>
      </c>
      <c r="G15" s="349" t="s">
        <v>123</v>
      </c>
      <c r="H15" s="324">
        <f>'Input Data'!M25</f>
        <v>1</v>
      </c>
      <c r="J15" s="325"/>
      <c r="K15" s="326"/>
      <c r="L15" s="326"/>
      <c r="M15" s="327"/>
    </row>
    <row r="16" ht="12.75" customHeight="1">
      <c r="D16" s="328" t="s">
        <v>138</v>
      </c>
      <c r="E16" s="350"/>
      <c r="F16" s="351">
        <f>F15/F14</f>
        <v>40.52281522</v>
      </c>
      <c r="G16" s="330"/>
      <c r="H16" s="338">
        <f> F16/H15</f>
        <v>40.52281522</v>
      </c>
      <c r="J16" s="352"/>
      <c r="K16" s="388"/>
      <c r="L16" s="353" t="str">
        <f>H16/'Input Data'!G33</f>
        <v>#DIV/0!</v>
      </c>
      <c r="M16" s="354"/>
    </row>
    <row r="17" ht="12.75" customHeight="1"/>
    <row r="18" ht="66.0" customHeight="1">
      <c r="B18" s="355" t="s">
        <v>139</v>
      </c>
      <c r="C18" s="356" t="s">
        <v>140</v>
      </c>
      <c r="D18" s="356" t="s">
        <v>141</v>
      </c>
      <c r="E18" s="357" t="s">
        <v>184</v>
      </c>
      <c r="F18" s="356" t="s">
        <v>143</v>
      </c>
      <c r="G18" s="356" t="s">
        <v>185</v>
      </c>
      <c r="H18" s="356" t="s">
        <v>145</v>
      </c>
      <c r="I18" s="356" t="s">
        <v>146</v>
      </c>
      <c r="J18" s="356" t="s">
        <v>147</v>
      </c>
      <c r="K18" s="356" t="s">
        <v>148</v>
      </c>
      <c r="L18" s="356" t="s">
        <v>149</v>
      </c>
    </row>
    <row r="19" ht="12.75" customHeight="1">
      <c r="A19" s="36" t="s">
        <v>150</v>
      </c>
      <c r="B19" s="358">
        <f t="shared" ref="B19:B45" si="2">$B$5*$B$11</f>
        <v>610.0208742</v>
      </c>
      <c r="C19" s="305">
        <v>0.0</v>
      </c>
      <c r="D19" s="359">
        <f t="shared" ref="D19:D45" si="3">$B$5*$B$9</f>
        <v>4880.166994</v>
      </c>
      <c r="E19" s="305">
        <v>0.0</v>
      </c>
      <c r="F19" s="359">
        <f t="shared" ref="F19:F45" si="4">$B$5*$B$13</f>
        <v>762.5260928</v>
      </c>
      <c r="G19" s="305">
        <v>0.0</v>
      </c>
      <c r="H19" s="359">
        <f t="shared" ref="H19:H45" si="5">$B$5*$B$15</f>
        <v>1372.546967</v>
      </c>
      <c r="I19" s="305">
        <v>0.0</v>
      </c>
      <c r="J19" s="359">
        <f t="shared" ref="J19:K19" si="1">B19+D19+F19+H19</f>
        <v>7625.260928</v>
      </c>
      <c r="K19" s="360">
        <f t="shared" si="1"/>
        <v>0</v>
      </c>
      <c r="L19" s="361">
        <f t="shared" ref="L19:L45" si="7">J19-K19</f>
        <v>7625.260928</v>
      </c>
    </row>
    <row r="20" ht="12.75" customHeight="1">
      <c r="A20" s="36" t="s">
        <v>151</v>
      </c>
      <c r="B20" s="362">
        <f t="shared" si="2"/>
        <v>610.0208742</v>
      </c>
      <c r="C20" s="363">
        <v>0.0</v>
      </c>
      <c r="D20" s="364">
        <f t="shared" si="3"/>
        <v>4880.166994</v>
      </c>
      <c r="E20" s="363">
        <v>0.0</v>
      </c>
      <c r="F20" s="364">
        <f t="shared" si="4"/>
        <v>762.5260928</v>
      </c>
      <c r="G20" s="363">
        <v>0.0</v>
      </c>
      <c r="H20" s="364">
        <f t="shared" si="5"/>
        <v>1372.546967</v>
      </c>
      <c r="I20" s="363">
        <v>0.0</v>
      </c>
      <c r="J20" s="364">
        <f t="shared" ref="J20:K20" si="6">J19+B20+D20+F20+H20</f>
        <v>15250.52186</v>
      </c>
      <c r="K20" s="364">
        <f t="shared" si="6"/>
        <v>0</v>
      </c>
      <c r="L20" s="365">
        <f t="shared" si="7"/>
        <v>15250.52186</v>
      </c>
    </row>
    <row r="21" ht="12.75" customHeight="1">
      <c r="A21" s="36" t="s">
        <v>152</v>
      </c>
      <c r="B21" s="362">
        <f t="shared" si="2"/>
        <v>610.0208742</v>
      </c>
      <c r="C21" s="363">
        <v>0.0</v>
      </c>
      <c r="D21" s="364">
        <f t="shared" si="3"/>
        <v>4880.166994</v>
      </c>
      <c r="E21" s="363">
        <v>0.0</v>
      </c>
      <c r="F21" s="364">
        <f t="shared" si="4"/>
        <v>762.5260928</v>
      </c>
      <c r="G21" s="363">
        <v>0.0</v>
      </c>
      <c r="H21" s="364">
        <f t="shared" si="5"/>
        <v>1372.546967</v>
      </c>
      <c r="I21" s="363">
        <v>0.0</v>
      </c>
      <c r="J21" s="364">
        <f t="shared" ref="J21:K21" si="8">J20+B21+D21+F21+H21</f>
        <v>22875.78278</v>
      </c>
      <c r="K21" s="364">
        <f t="shared" si="8"/>
        <v>0</v>
      </c>
      <c r="L21" s="365">
        <f t="shared" si="7"/>
        <v>22875.78278</v>
      </c>
    </row>
    <row r="22" ht="12.75" customHeight="1">
      <c r="A22" s="36" t="s">
        <v>153</v>
      </c>
      <c r="B22" s="362">
        <f t="shared" si="2"/>
        <v>610.0208742</v>
      </c>
      <c r="C22" s="363">
        <v>0.0</v>
      </c>
      <c r="D22" s="364">
        <f t="shared" si="3"/>
        <v>4880.166994</v>
      </c>
      <c r="E22" s="363">
        <v>0.0</v>
      </c>
      <c r="F22" s="364">
        <f t="shared" si="4"/>
        <v>762.5260928</v>
      </c>
      <c r="G22" s="363">
        <v>0.0</v>
      </c>
      <c r="H22" s="364">
        <f t="shared" si="5"/>
        <v>1372.546967</v>
      </c>
      <c r="I22" s="363">
        <v>0.0</v>
      </c>
      <c r="J22" s="364">
        <f t="shared" ref="J22:K22" si="9">J21+B22+D22+F22+H22</f>
        <v>30501.04371</v>
      </c>
      <c r="K22" s="364">
        <f t="shared" si="9"/>
        <v>0</v>
      </c>
      <c r="L22" s="365">
        <f t="shared" si="7"/>
        <v>30501.04371</v>
      </c>
    </row>
    <row r="23" ht="12.75" customHeight="1">
      <c r="A23" s="36" t="s">
        <v>154</v>
      </c>
      <c r="B23" s="362">
        <f t="shared" si="2"/>
        <v>610.0208742</v>
      </c>
      <c r="C23" s="363">
        <v>0.0</v>
      </c>
      <c r="D23" s="364">
        <f t="shared" si="3"/>
        <v>4880.166994</v>
      </c>
      <c r="E23" s="363">
        <v>0.0</v>
      </c>
      <c r="F23" s="364">
        <f t="shared" si="4"/>
        <v>762.5260928</v>
      </c>
      <c r="G23" s="363">
        <v>0.0</v>
      </c>
      <c r="H23" s="364">
        <f t="shared" si="5"/>
        <v>1372.546967</v>
      </c>
      <c r="I23" s="363">
        <v>0.0</v>
      </c>
      <c r="J23" s="364">
        <f t="shared" ref="J23:K23" si="10">J22+B23+D23+F23+H23</f>
        <v>38126.30464</v>
      </c>
      <c r="K23" s="364">
        <f t="shared" si="10"/>
        <v>0</v>
      </c>
      <c r="L23" s="365">
        <f t="shared" si="7"/>
        <v>38126.30464</v>
      </c>
    </row>
    <row r="24" ht="12.75" customHeight="1">
      <c r="A24" s="36" t="s">
        <v>155</v>
      </c>
      <c r="B24" s="362">
        <f t="shared" si="2"/>
        <v>610.0208742</v>
      </c>
      <c r="C24" s="363">
        <v>0.0</v>
      </c>
      <c r="D24" s="364">
        <f t="shared" si="3"/>
        <v>4880.166994</v>
      </c>
      <c r="E24" s="363">
        <v>0.0</v>
      </c>
      <c r="F24" s="364">
        <f t="shared" si="4"/>
        <v>762.5260928</v>
      </c>
      <c r="G24" s="363">
        <v>0.0</v>
      </c>
      <c r="H24" s="364">
        <f t="shared" si="5"/>
        <v>1372.546967</v>
      </c>
      <c r="I24" s="363">
        <v>0.0</v>
      </c>
      <c r="J24" s="364">
        <f t="shared" ref="J24:K24" si="11">J23+B24+D24+F24+H24</f>
        <v>45751.56557</v>
      </c>
      <c r="K24" s="364">
        <f t="shared" si="11"/>
        <v>0</v>
      </c>
      <c r="L24" s="365">
        <f t="shared" si="7"/>
        <v>45751.56557</v>
      </c>
    </row>
    <row r="25" ht="12.75" customHeight="1">
      <c r="A25" s="36" t="s">
        <v>156</v>
      </c>
      <c r="B25" s="362">
        <f t="shared" si="2"/>
        <v>610.0208742</v>
      </c>
      <c r="C25" s="363">
        <v>0.0</v>
      </c>
      <c r="D25" s="364">
        <f t="shared" si="3"/>
        <v>4880.166994</v>
      </c>
      <c r="E25" s="363">
        <v>0.0</v>
      </c>
      <c r="F25" s="364">
        <f t="shared" si="4"/>
        <v>762.5260928</v>
      </c>
      <c r="G25" s="363">
        <v>0.0</v>
      </c>
      <c r="H25" s="364">
        <f t="shared" si="5"/>
        <v>1372.546967</v>
      </c>
      <c r="I25" s="363">
        <v>0.0</v>
      </c>
      <c r="J25" s="364">
        <f t="shared" ref="J25:K25" si="12">J24+B25+D25+F25+H25</f>
        <v>53376.8265</v>
      </c>
      <c r="K25" s="364">
        <f t="shared" si="12"/>
        <v>0</v>
      </c>
      <c r="L25" s="365">
        <f t="shared" si="7"/>
        <v>53376.8265</v>
      </c>
    </row>
    <row r="26" ht="12.75" customHeight="1">
      <c r="A26" s="36" t="s">
        <v>157</v>
      </c>
      <c r="B26" s="362">
        <f t="shared" si="2"/>
        <v>610.0208742</v>
      </c>
      <c r="C26" s="363">
        <v>0.0</v>
      </c>
      <c r="D26" s="364">
        <f t="shared" si="3"/>
        <v>4880.166994</v>
      </c>
      <c r="E26" s="363">
        <v>0.0</v>
      </c>
      <c r="F26" s="364">
        <f t="shared" si="4"/>
        <v>762.5260928</v>
      </c>
      <c r="G26" s="363">
        <v>0.0</v>
      </c>
      <c r="H26" s="364">
        <f t="shared" si="5"/>
        <v>1372.546967</v>
      </c>
      <c r="I26" s="363">
        <v>0.0</v>
      </c>
      <c r="J26" s="364">
        <f t="shared" ref="J26:K26" si="13">J25+B26+D26+F26+H26</f>
        <v>61002.08742</v>
      </c>
      <c r="K26" s="364">
        <f t="shared" si="13"/>
        <v>0</v>
      </c>
      <c r="L26" s="365">
        <f t="shared" si="7"/>
        <v>61002.08742</v>
      </c>
    </row>
    <row r="27" ht="12.75" customHeight="1">
      <c r="A27" s="36" t="s">
        <v>158</v>
      </c>
      <c r="B27" s="362">
        <f t="shared" si="2"/>
        <v>610.0208742</v>
      </c>
      <c r="C27" s="363">
        <v>0.0</v>
      </c>
      <c r="D27" s="364">
        <f t="shared" si="3"/>
        <v>4880.166994</v>
      </c>
      <c r="E27" s="363">
        <v>0.0</v>
      </c>
      <c r="F27" s="364">
        <f t="shared" si="4"/>
        <v>762.5260928</v>
      </c>
      <c r="G27" s="363">
        <v>0.0</v>
      </c>
      <c r="H27" s="364">
        <f t="shared" si="5"/>
        <v>1372.546967</v>
      </c>
      <c r="I27" s="363">
        <v>0.0</v>
      </c>
      <c r="J27" s="364">
        <f t="shared" ref="J27:K27" si="14">J26+B27+D27+F27+H27</f>
        <v>68627.34835</v>
      </c>
      <c r="K27" s="364">
        <f t="shared" si="14"/>
        <v>0</v>
      </c>
      <c r="L27" s="365">
        <f t="shared" si="7"/>
        <v>68627.34835</v>
      </c>
    </row>
    <row r="28" ht="12.75" customHeight="1">
      <c r="A28" s="36" t="s">
        <v>159</v>
      </c>
      <c r="B28" s="362">
        <f t="shared" si="2"/>
        <v>610.0208742</v>
      </c>
      <c r="C28" s="363">
        <v>0.0</v>
      </c>
      <c r="D28" s="364">
        <f t="shared" si="3"/>
        <v>4880.166994</v>
      </c>
      <c r="E28" s="363">
        <v>0.0</v>
      </c>
      <c r="F28" s="364">
        <f t="shared" si="4"/>
        <v>762.5260928</v>
      </c>
      <c r="G28" s="363">
        <v>0.0</v>
      </c>
      <c r="H28" s="364">
        <f t="shared" si="5"/>
        <v>1372.546967</v>
      </c>
      <c r="I28" s="363">
        <v>0.0</v>
      </c>
      <c r="J28" s="364">
        <f t="shared" ref="J28:K28" si="15">J27+B28+D28+F28+H28</f>
        <v>76252.60928</v>
      </c>
      <c r="K28" s="364">
        <f t="shared" si="15"/>
        <v>0</v>
      </c>
      <c r="L28" s="365">
        <f t="shared" si="7"/>
        <v>76252.60928</v>
      </c>
    </row>
    <row r="29" ht="12.75" customHeight="1">
      <c r="A29" s="36" t="s">
        <v>160</v>
      </c>
      <c r="B29" s="362">
        <f t="shared" si="2"/>
        <v>610.0208742</v>
      </c>
      <c r="C29" s="363">
        <v>0.0</v>
      </c>
      <c r="D29" s="364">
        <f t="shared" si="3"/>
        <v>4880.166994</v>
      </c>
      <c r="E29" s="363">
        <v>0.0</v>
      </c>
      <c r="F29" s="364">
        <f t="shared" si="4"/>
        <v>762.5260928</v>
      </c>
      <c r="G29" s="363">
        <v>0.0</v>
      </c>
      <c r="H29" s="364">
        <f t="shared" si="5"/>
        <v>1372.546967</v>
      </c>
      <c r="I29" s="363">
        <v>0.0</v>
      </c>
      <c r="J29" s="364">
        <f t="shared" ref="J29:K29" si="16">J28+B29+D29+F29+H29</f>
        <v>83877.87021</v>
      </c>
      <c r="K29" s="364">
        <f t="shared" si="16"/>
        <v>0</v>
      </c>
      <c r="L29" s="365">
        <f t="shared" si="7"/>
        <v>83877.87021</v>
      </c>
    </row>
    <row r="30" ht="12.75" customHeight="1">
      <c r="A30" s="36" t="s">
        <v>161</v>
      </c>
      <c r="B30" s="362">
        <f t="shared" si="2"/>
        <v>610.0208742</v>
      </c>
      <c r="C30" s="363">
        <v>0.0</v>
      </c>
      <c r="D30" s="364">
        <f t="shared" si="3"/>
        <v>4880.166994</v>
      </c>
      <c r="E30" s="363">
        <v>0.0</v>
      </c>
      <c r="F30" s="364">
        <f t="shared" si="4"/>
        <v>762.5260928</v>
      </c>
      <c r="G30" s="363">
        <v>0.0</v>
      </c>
      <c r="H30" s="364">
        <f t="shared" si="5"/>
        <v>1372.546967</v>
      </c>
      <c r="I30" s="363">
        <v>0.0</v>
      </c>
      <c r="J30" s="364">
        <f t="shared" ref="J30:K30" si="17">J29+B30+D30+F30+H30</f>
        <v>91503.13113</v>
      </c>
      <c r="K30" s="364">
        <f t="shared" si="17"/>
        <v>0</v>
      </c>
      <c r="L30" s="365">
        <f t="shared" si="7"/>
        <v>91503.13113</v>
      </c>
    </row>
    <row r="31" ht="12.75" customHeight="1">
      <c r="A31" s="36" t="s">
        <v>162</v>
      </c>
      <c r="B31" s="362">
        <f t="shared" si="2"/>
        <v>610.0208742</v>
      </c>
      <c r="C31" s="363">
        <v>0.0</v>
      </c>
      <c r="D31" s="364">
        <f t="shared" si="3"/>
        <v>4880.166994</v>
      </c>
      <c r="E31" s="363">
        <v>0.0</v>
      </c>
      <c r="F31" s="364">
        <f t="shared" si="4"/>
        <v>762.5260928</v>
      </c>
      <c r="G31" s="363">
        <v>0.0</v>
      </c>
      <c r="H31" s="364">
        <f t="shared" si="5"/>
        <v>1372.546967</v>
      </c>
      <c r="I31" s="363">
        <v>0.0</v>
      </c>
      <c r="J31" s="364">
        <f t="shared" ref="J31:K31" si="18">J30+B31+D31+F31+H31</f>
        <v>99128.39206</v>
      </c>
      <c r="K31" s="364">
        <f t="shared" si="18"/>
        <v>0</v>
      </c>
      <c r="L31" s="365">
        <f t="shared" si="7"/>
        <v>99128.39206</v>
      </c>
    </row>
    <row r="32" ht="12.75" customHeight="1">
      <c r="A32" s="36" t="s">
        <v>163</v>
      </c>
      <c r="B32" s="362">
        <f t="shared" si="2"/>
        <v>610.0208742</v>
      </c>
      <c r="C32" s="363">
        <v>0.0</v>
      </c>
      <c r="D32" s="364">
        <f t="shared" si="3"/>
        <v>4880.166994</v>
      </c>
      <c r="E32" s="363">
        <v>0.0</v>
      </c>
      <c r="F32" s="364">
        <f t="shared" si="4"/>
        <v>762.5260928</v>
      </c>
      <c r="G32" s="363">
        <v>0.0</v>
      </c>
      <c r="H32" s="364">
        <f t="shared" si="5"/>
        <v>1372.546967</v>
      </c>
      <c r="I32" s="363">
        <v>0.0</v>
      </c>
      <c r="J32" s="364">
        <f t="shared" ref="J32:K32" si="19">J31+B32+D32+F32+H32</f>
        <v>106753.653</v>
      </c>
      <c r="K32" s="364">
        <f t="shared" si="19"/>
        <v>0</v>
      </c>
      <c r="L32" s="365">
        <f t="shared" si="7"/>
        <v>106753.653</v>
      </c>
    </row>
    <row r="33" ht="12.75" customHeight="1">
      <c r="A33" s="36" t="s">
        <v>164</v>
      </c>
      <c r="B33" s="362">
        <f t="shared" si="2"/>
        <v>610.0208742</v>
      </c>
      <c r="C33" s="363">
        <v>0.0</v>
      </c>
      <c r="D33" s="364">
        <f t="shared" si="3"/>
        <v>4880.166994</v>
      </c>
      <c r="E33" s="363">
        <v>0.0</v>
      </c>
      <c r="F33" s="364">
        <f t="shared" si="4"/>
        <v>762.5260928</v>
      </c>
      <c r="G33" s="363">
        <v>0.0</v>
      </c>
      <c r="H33" s="364">
        <f t="shared" si="5"/>
        <v>1372.546967</v>
      </c>
      <c r="I33" s="363">
        <v>0.0</v>
      </c>
      <c r="J33" s="364">
        <f t="shared" ref="J33:K33" si="20">J32+B33+D33+F33+H33</f>
        <v>114378.9139</v>
      </c>
      <c r="K33" s="364">
        <f t="shared" si="20"/>
        <v>0</v>
      </c>
      <c r="L33" s="365">
        <f t="shared" si="7"/>
        <v>114378.9139</v>
      </c>
    </row>
    <row r="34" ht="12.75" customHeight="1">
      <c r="A34" s="36" t="s">
        <v>165</v>
      </c>
      <c r="B34" s="362">
        <f t="shared" si="2"/>
        <v>610.0208742</v>
      </c>
      <c r="C34" s="363">
        <v>0.0</v>
      </c>
      <c r="D34" s="364">
        <f t="shared" si="3"/>
        <v>4880.166994</v>
      </c>
      <c r="E34" s="363">
        <v>0.0</v>
      </c>
      <c r="F34" s="364">
        <f t="shared" si="4"/>
        <v>762.5260928</v>
      </c>
      <c r="G34" s="363">
        <v>0.0</v>
      </c>
      <c r="H34" s="364">
        <f t="shared" si="5"/>
        <v>1372.546967</v>
      </c>
      <c r="I34" s="363">
        <v>0.0</v>
      </c>
      <c r="J34" s="364">
        <f t="shared" ref="J34:K34" si="21">J33+B34+D34+F34+H34</f>
        <v>122004.1748</v>
      </c>
      <c r="K34" s="364">
        <f t="shared" si="21"/>
        <v>0</v>
      </c>
      <c r="L34" s="365">
        <f t="shared" si="7"/>
        <v>122004.1748</v>
      </c>
    </row>
    <row r="35" ht="12.75" customHeight="1">
      <c r="A35" s="36" t="s">
        <v>166</v>
      </c>
      <c r="B35" s="362">
        <f t="shared" si="2"/>
        <v>610.0208742</v>
      </c>
      <c r="C35" s="363">
        <v>0.0</v>
      </c>
      <c r="D35" s="364">
        <f t="shared" si="3"/>
        <v>4880.166994</v>
      </c>
      <c r="E35" s="363">
        <v>0.0</v>
      </c>
      <c r="F35" s="364">
        <f t="shared" si="4"/>
        <v>762.5260928</v>
      </c>
      <c r="G35" s="363">
        <v>0.0</v>
      </c>
      <c r="H35" s="364">
        <f t="shared" si="5"/>
        <v>1372.546967</v>
      </c>
      <c r="I35" s="363">
        <v>0.0</v>
      </c>
      <c r="J35" s="364">
        <f t="shared" ref="J35:K35" si="22">J34+B35+D35+F35+H35</f>
        <v>129629.4358</v>
      </c>
      <c r="K35" s="364">
        <f t="shared" si="22"/>
        <v>0</v>
      </c>
      <c r="L35" s="365">
        <f t="shared" si="7"/>
        <v>129629.4358</v>
      </c>
    </row>
    <row r="36" ht="12.75" customHeight="1">
      <c r="A36" s="36" t="s">
        <v>167</v>
      </c>
      <c r="B36" s="362">
        <f t="shared" si="2"/>
        <v>610.0208742</v>
      </c>
      <c r="C36" s="363">
        <v>0.0</v>
      </c>
      <c r="D36" s="364">
        <f t="shared" si="3"/>
        <v>4880.166994</v>
      </c>
      <c r="E36" s="363">
        <v>0.0</v>
      </c>
      <c r="F36" s="364">
        <f t="shared" si="4"/>
        <v>762.5260928</v>
      </c>
      <c r="G36" s="363">
        <v>0.0</v>
      </c>
      <c r="H36" s="364">
        <f t="shared" si="5"/>
        <v>1372.546967</v>
      </c>
      <c r="I36" s="363">
        <v>0.0</v>
      </c>
      <c r="J36" s="364">
        <f t="shared" ref="J36:K36" si="23">J35+B36+D36+F36+H36</f>
        <v>137254.6967</v>
      </c>
      <c r="K36" s="364">
        <f t="shared" si="23"/>
        <v>0</v>
      </c>
      <c r="L36" s="365">
        <f t="shared" si="7"/>
        <v>137254.6967</v>
      </c>
    </row>
    <row r="37" ht="12.75" customHeight="1">
      <c r="A37" s="36" t="s">
        <v>168</v>
      </c>
      <c r="B37" s="362">
        <f t="shared" si="2"/>
        <v>610.0208742</v>
      </c>
      <c r="C37" s="363">
        <v>0.0</v>
      </c>
      <c r="D37" s="364">
        <f t="shared" si="3"/>
        <v>4880.166994</v>
      </c>
      <c r="E37" s="363">
        <v>0.0</v>
      </c>
      <c r="F37" s="364">
        <f t="shared" si="4"/>
        <v>762.5260928</v>
      </c>
      <c r="G37" s="363">
        <v>0.0</v>
      </c>
      <c r="H37" s="364">
        <f t="shared" si="5"/>
        <v>1372.546967</v>
      </c>
      <c r="I37" s="363">
        <v>0.0</v>
      </c>
      <c r="J37" s="364">
        <f t="shared" ref="J37:K37" si="24">J36+B37+D37+F37+H37</f>
        <v>144879.9576</v>
      </c>
      <c r="K37" s="364">
        <f t="shared" si="24"/>
        <v>0</v>
      </c>
      <c r="L37" s="365">
        <f t="shared" si="7"/>
        <v>144879.9576</v>
      </c>
    </row>
    <row r="38" ht="12.75" customHeight="1">
      <c r="A38" s="36" t="s">
        <v>169</v>
      </c>
      <c r="B38" s="362">
        <f t="shared" si="2"/>
        <v>610.0208742</v>
      </c>
      <c r="C38" s="363">
        <v>0.0</v>
      </c>
      <c r="D38" s="364">
        <f t="shared" si="3"/>
        <v>4880.166994</v>
      </c>
      <c r="E38" s="363">
        <v>0.0</v>
      </c>
      <c r="F38" s="364">
        <f t="shared" si="4"/>
        <v>762.5260928</v>
      </c>
      <c r="G38" s="363">
        <v>0.0</v>
      </c>
      <c r="H38" s="364">
        <f t="shared" si="5"/>
        <v>1372.546967</v>
      </c>
      <c r="I38" s="363">
        <v>0.0</v>
      </c>
      <c r="J38" s="364">
        <f t="shared" ref="J38:K38" si="25">J37+B38+D38+F38+H38</f>
        <v>152505.2186</v>
      </c>
      <c r="K38" s="364">
        <f t="shared" si="25"/>
        <v>0</v>
      </c>
      <c r="L38" s="365">
        <f t="shared" si="7"/>
        <v>152505.2186</v>
      </c>
    </row>
    <row r="39" ht="12.75" customHeight="1">
      <c r="A39" s="36" t="s">
        <v>170</v>
      </c>
      <c r="B39" s="362">
        <f t="shared" si="2"/>
        <v>610.0208742</v>
      </c>
      <c r="C39" s="363">
        <v>0.0</v>
      </c>
      <c r="D39" s="364">
        <f t="shared" si="3"/>
        <v>4880.166994</v>
      </c>
      <c r="E39" s="363">
        <v>0.0</v>
      </c>
      <c r="F39" s="364">
        <f t="shared" si="4"/>
        <v>762.5260928</v>
      </c>
      <c r="G39" s="363">
        <v>0.0</v>
      </c>
      <c r="H39" s="364">
        <f t="shared" si="5"/>
        <v>1372.546967</v>
      </c>
      <c r="I39" s="363">
        <v>0.0</v>
      </c>
      <c r="J39" s="364">
        <f t="shared" ref="J39:K39" si="26">J38+B39+D39+F39+H39</f>
        <v>160130.4795</v>
      </c>
      <c r="K39" s="364">
        <f t="shared" si="26"/>
        <v>0</v>
      </c>
      <c r="L39" s="365">
        <f t="shared" si="7"/>
        <v>160130.4795</v>
      </c>
    </row>
    <row r="40" ht="12.75" customHeight="1">
      <c r="A40" s="36" t="s">
        <v>171</v>
      </c>
      <c r="B40" s="362">
        <f t="shared" si="2"/>
        <v>610.0208742</v>
      </c>
      <c r="C40" s="363">
        <v>0.0</v>
      </c>
      <c r="D40" s="364">
        <f t="shared" si="3"/>
        <v>4880.166994</v>
      </c>
      <c r="E40" s="363">
        <v>0.0</v>
      </c>
      <c r="F40" s="364">
        <f t="shared" si="4"/>
        <v>762.5260928</v>
      </c>
      <c r="G40" s="363">
        <v>0.0</v>
      </c>
      <c r="H40" s="364">
        <f t="shared" si="5"/>
        <v>1372.546967</v>
      </c>
      <c r="I40" s="363">
        <v>0.0</v>
      </c>
      <c r="J40" s="364">
        <f t="shared" ref="J40:K40" si="27">J39+B40+D40+F40+H40</f>
        <v>167755.7404</v>
      </c>
      <c r="K40" s="364">
        <f t="shared" si="27"/>
        <v>0</v>
      </c>
      <c r="L40" s="365">
        <f t="shared" si="7"/>
        <v>167755.7404</v>
      </c>
    </row>
    <row r="41" ht="12.75" customHeight="1">
      <c r="A41" s="36" t="s">
        <v>172</v>
      </c>
      <c r="B41" s="362">
        <f t="shared" si="2"/>
        <v>610.0208742</v>
      </c>
      <c r="C41" s="363">
        <v>0.0</v>
      </c>
      <c r="D41" s="364">
        <f t="shared" si="3"/>
        <v>4880.166994</v>
      </c>
      <c r="E41" s="363">
        <v>0.0</v>
      </c>
      <c r="F41" s="364">
        <f t="shared" si="4"/>
        <v>762.5260928</v>
      </c>
      <c r="G41" s="363">
        <v>0.0</v>
      </c>
      <c r="H41" s="364">
        <f t="shared" si="5"/>
        <v>1372.546967</v>
      </c>
      <c r="I41" s="363">
        <v>0.0</v>
      </c>
      <c r="J41" s="364">
        <f t="shared" ref="J41:K41" si="28">J40+B41+D41+F41+H41</f>
        <v>175381.0013</v>
      </c>
      <c r="K41" s="364">
        <f t="shared" si="28"/>
        <v>0</v>
      </c>
      <c r="L41" s="365">
        <f t="shared" si="7"/>
        <v>175381.0013</v>
      </c>
    </row>
    <row r="42" ht="12.75" customHeight="1">
      <c r="A42" s="36" t="s">
        <v>173</v>
      </c>
      <c r="B42" s="362">
        <f t="shared" si="2"/>
        <v>610.0208742</v>
      </c>
      <c r="C42" s="363">
        <v>0.0</v>
      </c>
      <c r="D42" s="364">
        <f t="shared" si="3"/>
        <v>4880.166994</v>
      </c>
      <c r="E42" s="363">
        <v>0.0</v>
      </c>
      <c r="F42" s="364">
        <f t="shared" si="4"/>
        <v>762.5260928</v>
      </c>
      <c r="G42" s="363">
        <v>0.0</v>
      </c>
      <c r="H42" s="364">
        <f t="shared" si="5"/>
        <v>1372.546967</v>
      </c>
      <c r="I42" s="363">
        <v>0.0</v>
      </c>
      <c r="J42" s="364">
        <f t="shared" ref="J42:K42" si="29">J41+B42+D42+F42+H42</f>
        <v>183006.2623</v>
      </c>
      <c r="K42" s="364">
        <f t="shared" si="29"/>
        <v>0</v>
      </c>
      <c r="L42" s="365">
        <f t="shared" si="7"/>
        <v>183006.2623</v>
      </c>
    </row>
    <row r="43" ht="12.75" customHeight="1">
      <c r="A43" s="36" t="s">
        <v>174</v>
      </c>
      <c r="B43" s="362">
        <f t="shared" si="2"/>
        <v>610.0208742</v>
      </c>
      <c r="C43" s="363">
        <v>0.0</v>
      </c>
      <c r="D43" s="364">
        <f t="shared" si="3"/>
        <v>4880.166994</v>
      </c>
      <c r="E43" s="363">
        <v>0.0</v>
      </c>
      <c r="F43" s="364">
        <f t="shared" si="4"/>
        <v>762.5260928</v>
      </c>
      <c r="G43" s="363">
        <v>0.0</v>
      </c>
      <c r="H43" s="364">
        <f t="shared" si="5"/>
        <v>1372.546967</v>
      </c>
      <c r="I43" s="363">
        <v>0.0</v>
      </c>
      <c r="J43" s="364">
        <f t="shared" ref="J43:K43" si="30">J42+B43+D43+F43+H43</f>
        <v>190631.5232</v>
      </c>
      <c r="K43" s="364">
        <f t="shared" si="30"/>
        <v>0</v>
      </c>
      <c r="L43" s="365">
        <f t="shared" si="7"/>
        <v>190631.5232</v>
      </c>
    </row>
    <row r="44" ht="12.75" customHeight="1">
      <c r="A44" s="36" t="s">
        <v>175</v>
      </c>
      <c r="B44" s="362">
        <f t="shared" si="2"/>
        <v>610.0208742</v>
      </c>
      <c r="C44" s="363">
        <v>0.0</v>
      </c>
      <c r="D44" s="364">
        <f t="shared" si="3"/>
        <v>4880.166994</v>
      </c>
      <c r="E44" s="363">
        <v>0.0</v>
      </c>
      <c r="F44" s="364">
        <f t="shared" si="4"/>
        <v>762.5260928</v>
      </c>
      <c r="G44" s="363">
        <v>0.0</v>
      </c>
      <c r="H44" s="364">
        <f t="shared" si="5"/>
        <v>1372.546967</v>
      </c>
      <c r="I44" s="363">
        <v>0.0</v>
      </c>
      <c r="J44" s="364">
        <f t="shared" ref="J44:K44" si="31">J43+B44+D44+F44+H44</f>
        <v>198256.7841</v>
      </c>
      <c r="K44" s="364">
        <f t="shared" si="31"/>
        <v>0</v>
      </c>
      <c r="L44" s="365">
        <f t="shared" si="7"/>
        <v>198256.7841</v>
      </c>
    </row>
    <row r="45" ht="12.75" customHeight="1">
      <c r="A45" s="36" t="s">
        <v>176</v>
      </c>
      <c r="B45" s="367">
        <f t="shared" si="2"/>
        <v>610.0208742</v>
      </c>
      <c r="C45" s="368">
        <v>0.0</v>
      </c>
      <c r="D45" s="369">
        <f t="shared" si="3"/>
        <v>4880.166994</v>
      </c>
      <c r="E45" s="368">
        <v>0.0</v>
      </c>
      <c r="F45" s="369">
        <f t="shared" si="4"/>
        <v>762.5260928</v>
      </c>
      <c r="G45" s="368">
        <v>0.0</v>
      </c>
      <c r="H45" s="369">
        <f t="shared" si="5"/>
        <v>1372.546967</v>
      </c>
      <c r="I45" s="368">
        <v>0.0</v>
      </c>
      <c r="J45" s="369">
        <f t="shared" ref="J45:K45" si="32">J44+B45+D45+F45+H45</f>
        <v>205882.0451</v>
      </c>
      <c r="K45" s="369">
        <f t="shared" si="32"/>
        <v>0</v>
      </c>
      <c r="L45" s="370">
        <f t="shared" si="7"/>
        <v>205882.0451</v>
      </c>
    </row>
    <row r="46" ht="12.75" customHeight="1"/>
    <row r="47" ht="12.75" customHeight="1"/>
    <row r="48" ht="12.75" customHeight="1">
      <c r="A48" s="371" t="s">
        <v>177</v>
      </c>
      <c r="B48" s="108"/>
      <c r="C48" s="372" t="s">
        <v>178</v>
      </c>
      <c r="D48" s="373" t="s">
        <v>179</v>
      </c>
      <c r="E48" s="373" t="s">
        <v>180</v>
      </c>
      <c r="F48" s="374" t="s">
        <v>181</v>
      </c>
    </row>
    <row r="49" ht="14.25" customHeight="1">
      <c r="A49" s="375"/>
      <c r="B49" s="376"/>
      <c r="C49" s="377"/>
      <c r="D49" s="377"/>
      <c r="E49" s="377"/>
      <c r="F49" s="378"/>
    </row>
    <row r="50" ht="14.25" customHeight="1">
      <c r="A50" s="379"/>
      <c r="B50" s="380"/>
      <c r="C50" s="381"/>
      <c r="D50" s="381"/>
      <c r="E50" s="381"/>
      <c r="F50" s="382"/>
    </row>
    <row r="51" ht="14.25" customHeight="1">
      <c r="A51" s="379"/>
      <c r="B51" s="380"/>
      <c r="C51" s="381"/>
      <c r="D51" s="381"/>
      <c r="E51" s="381"/>
      <c r="F51" s="382"/>
    </row>
    <row r="52" ht="14.25" customHeight="1">
      <c r="A52" s="379"/>
      <c r="B52" s="380"/>
      <c r="C52" s="381"/>
      <c r="D52" s="381"/>
      <c r="E52" s="381"/>
      <c r="F52" s="382"/>
    </row>
    <row r="53" ht="14.25" customHeight="1">
      <c r="A53" s="379"/>
      <c r="B53" s="380"/>
      <c r="C53" s="381"/>
      <c r="D53" s="381"/>
      <c r="E53" s="381"/>
      <c r="F53" s="382"/>
    </row>
    <row r="54" ht="14.25" customHeight="1">
      <c r="A54" s="379"/>
      <c r="B54" s="380"/>
      <c r="C54" s="381"/>
      <c r="D54" s="381"/>
      <c r="E54" s="381"/>
      <c r="F54" s="382"/>
    </row>
    <row r="55" ht="14.25" customHeight="1">
      <c r="A55" s="379"/>
      <c r="B55" s="380"/>
      <c r="C55" s="381"/>
      <c r="D55" s="381"/>
      <c r="E55" s="381"/>
      <c r="F55" s="382"/>
    </row>
    <row r="56" ht="14.25" customHeight="1">
      <c r="A56" s="379"/>
      <c r="B56" s="380"/>
      <c r="C56" s="381"/>
      <c r="D56" s="381"/>
      <c r="E56" s="381"/>
      <c r="F56" s="382"/>
    </row>
    <row r="57" ht="14.25" customHeight="1">
      <c r="A57" s="379"/>
      <c r="B57" s="380"/>
      <c r="C57" s="381"/>
      <c r="D57" s="381"/>
      <c r="E57" s="381"/>
      <c r="F57" s="382"/>
    </row>
    <row r="58" ht="14.25" customHeight="1">
      <c r="A58" s="379"/>
      <c r="B58" s="380"/>
      <c r="C58" s="381"/>
      <c r="D58" s="381"/>
      <c r="E58" s="381"/>
      <c r="F58" s="382"/>
    </row>
    <row r="59" ht="14.25" customHeight="1">
      <c r="A59" s="379"/>
      <c r="B59" s="380"/>
      <c r="C59" s="381"/>
      <c r="D59" s="381"/>
      <c r="E59" s="381"/>
      <c r="F59" s="382"/>
    </row>
    <row r="60" ht="14.25" customHeight="1">
      <c r="A60" s="379"/>
      <c r="B60" s="380"/>
      <c r="C60" s="381"/>
      <c r="D60" s="381"/>
      <c r="E60" s="381"/>
      <c r="F60" s="382"/>
    </row>
    <row r="61" ht="14.25" customHeight="1">
      <c r="A61" s="379"/>
      <c r="B61" s="380"/>
      <c r="C61" s="381"/>
      <c r="D61" s="381"/>
      <c r="E61" s="381"/>
      <c r="F61" s="382"/>
    </row>
    <row r="62" ht="14.25" customHeight="1">
      <c r="A62" s="379"/>
      <c r="B62" s="380"/>
      <c r="C62" s="381"/>
      <c r="D62" s="381"/>
      <c r="E62" s="381"/>
      <c r="F62" s="382"/>
    </row>
    <row r="63" ht="14.25" customHeight="1">
      <c r="A63" s="379"/>
      <c r="B63" s="380"/>
      <c r="C63" s="381"/>
      <c r="D63" s="381"/>
      <c r="E63" s="381"/>
      <c r="F63" s="382"/>
    </row>
    <row r="64" ht="14.25" customHeight="1">
      <c r="A64" s="379"/>
      <c r="B64" s="380"/>
      <c r="C64" s="381"/>
      <c r="D64" s="381"/>
      <c r="E64" s="381"/>
      <c r="F64" s="382"/>
    </row>
    <row r="65" ht="14.25" customHeight="1">
      <c r="A65" s="379"/>
      <c r="B65" s="380"/>
      <c r="C65" s="381"/>
      <c r="D65" s="381"/>
      <c r="E65" s="381"/>
      <c r="F65" s="382"/>
    </row>
    <row r="66" ht="14.25" customHeight="1">
      <c r="A66" s="379"/>
      <c r="B66" s="380"/>
      <c r="C66" s="381"/>
      <c r="D66" s="381"/>
      <c r="E66" s="381"/>
      <c r="F66" s="382"/>
    </row>
    <row r="67" ht="14.25" customHeight="1">
      <c r="A67" s="379"/>
      <c r="B67" s="380"/>
      <c r="C67" s="381"/>
      <c r="D67" s="381"/>
      <c r="E67" s="381"/>
      <c r="F67" s="382"/>
    </row>
    <row r="68" ht="14.25" customHeight="1">
      <c r="A68" s="379"/>
      <c r="B68" s="380"/>
      <c r="C68" s="381"/>
      <c r="D68" s="381"/>
      <c r="E68" s="381"/>
      <c r="F68" s="382"/>
    </row>
    <row r="69" ht="12.75" customHeight="1">
      <c r="A69" s="383"/>
      <c r="B69" s="384"/>
      <c r="C69" s="385"/>
      <c r="D69" s="385"/>
      <c r="E69" s="385"/>
      <c r="F69" s="386"/>
    </row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3">
    <mergeCell ref="J1:M1"/>
    <mergeCell ref="D2:E2"/>
    <mergeCell ref="D3:E3"/>
    <mergeCell ref="D4:E4"/>
    <mergeCell ref="D6:E6"/>
    <mergeCell ref="D7:E7"/>
    <mergeCell ref="D8:E8"/>
    <mergeCell ref="D10:E10"/>
    <mergeCell ref="D11:E11"/>
    <mergeCell ref="D12:E12"/>
    <mergeCell ref="D14:E14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65:B65"/>
    <mergeCell ref="A66:B66"/>
    <mergeCell ref="A67:B67"/>
    <mergeCell ref="A68:B68"/>
    <mergeCell ref="A69:B69"/>
    <mergeCell ref="A58:B58"/>
    <mergeCell ref="A59:B59"/>
    <mergeCell ref="A60:B60"/>
    <mergeCell ref="A61:B61"/>
    <mergeCell ref="A62:B62"/>
    <mergeCell ref="A63:B63"/>
    <mergeCell ref="A64:B64"/>
  </mergeCells>
  <conditionalFormatting sqref="K19:K45">
    <cfRule type="cellIs" dxfId="1" priority="1" operator="greaterThan">
      <formula>$B$3</formula>
    </cfRule>
  </conditionalFormatting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25"/>
    <col customWidth="1" min="2" max="2" width="20.13"/>
    <col customWidth="1" min="3" max="3" width="15.0"/>
    <col customWidth="1" min="4" max="4" width="16.75"/>
    <col customWidth="1" min="5" max="5" width="26.63"/>
    <col customWidth="1" min="6" max="6" width="18.25"/>
    <col customWidth="1" min="7" max="7" width="15.0"/>
    <col customWidth="1" min="8" max="8" width="23.75"/>
    <col customWidth="1" min="9" max="12" width="15.63"/>
    <col customWidth="1" min="13" max="13" width="15.0"/>
    <col customWidth="1" min="14" max="14" width="15.63"/>
    <col customWidth="1" min="15" max="15" width="16.13"/>
    <col customWidth="1" min="16" max="16" width="16.38"/>
    <col customWidth="1" min="17" max="17" width="17.38"/>
    <col customWidth="1" min="18" max="26" width="8.63"/>
  </cols>
  <sheetData>
    <row r="1" ht="12.75" customHeight="1">
      <c r="A1" s="310" t="s">
        <v>195</v>
      </c>
      <c r="J1" s="311" t="s">
        <v>118</v>
      </c>
      <c r="K1" s="167"/>
      <c r="L1" s="167"/>
      <c r="M1" s="79"/>
    </row>
    <row r="2" ht="12.75" customHeight="1">
      <c r="D2" s="312" t="s">
        <v>119</v>
      </c>
      <c r="E2" s="167"/>
      <c r="F2" s="345">
        <f>'Input Data'!N12</f>
        <v>8500</v>
      </c>
      <c r="G2" s="346"/>
      <c r="H2" s="315" t="s">
        <v>187</v>
      </c>
      <c r="J2" s="316" t="s">
        <v>115</v>
      </c>
      <c r="K2" s="317" t="s">
        <v>87</v>
      </c>
      <c r="L2" s="317" t="s">
        <v>88</v>
      </c>
      <c r="M2" s="318" t="s">
        <v>86</v>
      </c>
    </row>
    <row r="3" ht="12.75" customHeight="1">
      <c r="A3" s="319" t="s">
        <v>121</v>
      </c>
      <c r="B3" s="320">
        <f>'Sales Goals'!I18</f>
        <v>152520.1802</v>
      </c>
      <c r="D3" s="321" t="s">
        <v>122</v>
      </c>
      <c r="E3" s="172"/>
      <c r="F3" s="348">
        <f>B3*B9</f>
        <v>97612.91531</v>
      </c>
      <c r="G3" s="349" t="s">
        <v>123</v>
      </c>
      <c r="H3" s="324">
        <f>'Input Data'!N13</f>
        <v>0.5</v>
      </c>
      <c r="I3" s="3"/>
      <c r="J3" s="325"/>
      <c r="K3" s="326"/>
      <c r="L3" s="326"/>
      <c r="M3" s="327"/>
    </row>
    <row r="4" ht="12.75" customHeight="1">
      <c r="B4" s="36"/>
      <c r="D4" s="328" t="s">
        <v>124</v>
      </c>
      <c r="E4" s="108"/>
      <c r="F4" s="387">
        <f>F3/F2</f>
        <v>11.48387239</v>
      </c>
      <c r="G4" s="330"/>
      <c r="H4" s="331">
        <f>F4/H3</f>
        <v>22.96774478</v>
      </c>
      <c r="I4" s="3"/>
      <c r="J4" s="325">
        <f>H4/'Input Data'!G30</f>
        <v>0.4175953596</v>
      </c>
      <c r="K4" s="326"/>
      <c r="L4" s="326"/>
      <c r="M4" s="327">
        <f>F4/'Input Data'!G34</f>
        <v>0.5219941995</v>
      </c>
    </row>
    <row r="5" ht="12.75" customHeight="1">
      <c r="A5" s="332" t="s">
        <v>125</v>
      </c>
      <c r="B5" s="320">
        <f>((B3/31)*7)/'Break-even'!C25</f>
        <v>6888.008137</v>
      </c>
      <c r="F5" s="36"/>
      <c r="G5" s="36"/>
      <c r="H5" s="36"/>
      <c r="J5" s="325"/>
      <c r="K5" s="326"/>
      <c r="L5" s="326"/>
      <c r="M5" s="327"/>
    </row>
    <row r="6" ht="12.75" customHeight="1">
      <c r="B6" s="36"/>
      <c r="D6" s="312" t="s">
        <v>126</v>
      </c>
      <c r="E6" s="167"/>
      <c r="F6" s="345">
        <f>'Input Data'!N16</f>
        <v>400</v>
      </c>
      <c r="G6" s="346"/>
      <c r="H6" s="333" t="s">
        <v>127</v>
      </c>
      <c r="J6" s="334"/>
      <c r="K6" s="326"/>
      <c r="L6" s="326"/>
      <c r="M6" s="327"/>
    </row>
    <row r="7" ht="12.75" customHeight="1">
      <c r="A7" s="335" t="s">
        <v>35</v>
      </c>
      <c r="B7" s="320">
        <f>Budget!C36</f>
        <v>4885.054388</v>
      </c>
      <c r="D7" s="321" t="s">
        <v>128</v>
      </c>
      <c r="E7" s="172"/>
      <c r="F7" s="348">
        <f>B3*B11</f>
        <v>16777.21982</v>
      </c>
      <c r="G7" s="349" t="s">
        <v>123</v>
      </c>
      <c r="H7" s="324">
        <f>'Input Data'!N17</f>
        <v>1</v>
      </c>
      <c r="J7" s="325"/>
      <c r="K7" s="336"/>
      <c r="L7" s="326"/>
      <c r="M7" s="327"/>
    </row>
    <row r="8" ht="12.75" customHeight="1">
      <c r="B8" s="36"/>
      <c r="D8" s="328" t="s">
        <v>129</v>
      </c>
      <c r="E8" s="108"/>
      <c r="F8" s="351">
        <f>F7/F6</f>
        <v>41.94304955</v>
      </c>
      <c r="G8" s="330"/>
      <c r="H8" s="338">
        <f> F8/H7</f>
        <v>41.94304955</v>
      </c>
      <c r="J8" s="325"/>
      <c r="K8" s="326">
        <f>H8/'Input Data'!G31</f>
        <v>0.6355007507</v>
      </c>
      <c r="L8" s="326"/>
      <c r="M8" s="327"/>
    </row>
    <row r="9" ht="12.75" customHeight="1">
      <c r="A9" s="339" t="s">
        <v>130</v>
      </c>
      <c r="B9" s="340">
        <f>'Input Data'!N6</f>
        <v>0.64</v>
      </c>
      <c r="F9" s="36"/>
      <c r="G9" s="36"/>
      <c r="H9" s="36"/>
      <c r="J9" s="325"/>
      <c r="K9" s="326"/>
      <c r="L9" s="326"/>
      <c r="M9" s="327"/>
    </row>
    <row r="10" ht="12.75" customHeight="1">
      <c r="B10" s="36"/>
      <c r="D10" s="312" t="s">
        <v>131</v>
      </c>
      <c r="E10" s="167"/>
      <c r="F10" s="345">
        <f>'Input Data'!N20</f>
        <v>150</v>
      </c>
      <c r="G10" s="346"/>
      <c r="H10" s="333" t="s">
        <v>127</v>
      </c>
      <c r="J10" s="325"/>
      <c r="K10" s="326"/>
      <c r="L10" s="326"/>
      <c r="M10" s="327"/>
    </row>
    <row r="11" ht="12.75" customHeight="1">
      <c r="A11" s="339" t="s">
        <v>132</v>
      </c>
      <c r="B11" s="340">
        <f>'Input Data'!N7</f>
        <v>0.11</v>
      </c>
      <c r="D11" s="321" t="s">
        <v>133</v>
      </c>
      <c r="E11" s="172"/>
      <c r="F11" s="348">
        <f>B3*B13</f>
        <v>10676.41261</v>
      </c>
      <c r="G11" s="349" t="s">
        <v>123</v>
      </c>
      <c r="H11" s="324">
        <f>'Input Data'!N21</f>
        <v>1</v>
      </c>
      <c r="J11" s="325"/>
      <c r="K11" s="326"/>
      <c r="L11" s="326"/>
      <c r="M11" s="327"/>
    </row>
    <row r="12" ht="12.75" customHeight="1">
      <c r="A12" s="278"/>
      <c r="B12" s="342"/>
      <c r="D12" s="328" t="s">
        <v>134</v>
      </c>
      <c r="E12" s="169"/>
      <c r="F12" s="351">
        <f>F11/F10</f>
        <v>71.17608408</v>
      </c>
      <c r="G12" s="330"/>
      <c r="H12" s="338">
        <f> F12/H11</f>
        <v>71.17608408</v>
      </c>
      <c r="J12" s="325"/>
      <c r="K12" s="326">
        <f>H12/'Input Data'!G32</f>
        <v>0.7612415409</v>
      </c>
      <c r="L12" s="326"/>
      <c r="M12" s="327"/>
    </row>
    <row r="13" ht="12.75" customHeight="1">
      <c r="A13" s="328" t="s">
        <v>135</v>
      </c>
      <c r="B13" s="340">
        <f>'Input Data'!N8</f>
        <v>0.07</v>
      </c>
      <c r="J13" s="325"/>
      <c r="K13" s="326"/>
      <c r="L13" s="326"/>
      <c r="M13" s="327"/>
    </row>
    <row r="14" ht="12.75" customHeight="1">
      <c r="D14" s="312" t="s">
        <v>136</v>
      </c>
      <c r="E14" s="79"/>
      <c r="F14" s="345">
        <f>'Input Data'!N24</f>
        <v>750</v>
      </c>
      <c r="G14" s="346"/>
      <c r="H14" s="333" t="s">
        <v>127</v>
      </c>
      <c r="J14" s="325"/>
      <c r="K14" s="326"/>
      <c r="L14" s="326"/>
      <c r="M14" s="327"/>
    </row>
    <row r="15" ht="12.75" customHeight="1">
      <c r="A15" s="328" t="s">
        <v>137</v>
      </c>
      <c r="B15" s="324">
        <f>'Input Data'!N9</f>
        <v>0.18</v>
      </c>
      <c r="D15" s="347" t="s">
        <v>128</v>
      </c>
      <c r="E15" s="165"/>
      <c r="F15" s="348">
        <f>B3*B15</f>
        <v>27453.63243</v>
      </c>
      <c r="G15" s="349" t="s">
        <v>123</v>
      </c>
      <c r="H15" s="324">
        <f>'Input Data'!N25</f>
        <v>1</v>
      </c>
      <c r="J15" s="325"/>
      <c r="K15" s="326"/>
      <c r="L15" s="326"/>
      <c r="M15" s="327"/>
    </row>
    <row r="16" ht="12.75" customHeight="1">
      <c r="D16" s="328" t="s">
        <v>138</v>
      </c>
      <c r="E16" s="350"/>
      <c r="F16" s="351">
        <f>F15/F14</f>
        <v>36.60484324</v>
      </c>
      <c r="G16" s="330"/>
      <c r="H16" s="338">
        <f> F16/H15</f>
        <v>36.60484324</v>
      </c>
      <c r="J16" s="352"/>
      <c r="K16" s="388"/>
      <c r="L16" s="353" t="str">
        <f>H16/'Input Data'!G33</f>
        <v>#DIV/0!</v>
      </c>
      <c r="M16" s="354"/>
    </row>
    <row r="17" ht="12.75" customHeight="1"/>
    <row r="18" ht="12.75" customHeight="1">
      <c r="B18" s="355" t="s">
        <v>139</v>
      </c>
      <c r="C18" s="356" t="s">
        <v>140</v>
      </c>
      <c r="D18" s="356" t="s">
        <v>141</v>
      </c>
      <c r="E18" s="357" t="s">
        <v>184</v>
      </c>
      <c r="F18" s="356" t="s">
        <v>143</v>
      </c>
      <c r="G18" s="356" t="s">
        <v>185</v>
      </c>
      <c r="H18" s="356" t="s">
        <v>145</v>
      </c>
      <c r="I18" s="356" t="s">
        <v>146</v>
      </c>
      <c r="J18" s="356" t="s">
        <v>147</v>
      </c>
      <c r="K18" s="356" t="s">
        <v>148</v>
      </c>
      <c r="L18" s="356" t="s">
        <v>149</v>
      </c>
    </row>
    <row r="19" ht="12.75" customHeight="1">
      <c r="A19" s="36" t="s">
        <v>150</v>
      </c>
      <c r="B19" s="358">
        <f t="shared" ref="B19:B45" si="2">$B$5*$B$11</f>
        <v>757.680895</v>
      </c>
      <c r="C19" s="305">
        <v>0.0</v>
      </c>
      <c r="D19" s="359">
        <f t="shared" ref="D19:D45" si="3">$B$5*$B$9</f>
        <v>4408.325207</v>
      </c>
      <c r="E19" s="305">
        <v>0.0</v>
      </c>
      <c r="F19" s="359">
        <f t="shared" ref="F19:F45" si="4">$B$5*$B$13</f>
        <v>482.1605696</v>
      </c>
      <c r="G19" s="305">
        <v>0.0</v>
      </c>
      <c r="H19" s="359">
        <f t="shared" ref="H19:H45" si="5">$B$5*$B$15</f>
        <v>1239.841465</v>
      </c>
      <c r="I19" s="305">
        <v>0.0</v>
      </c>
      <c r="J19" s="359">
        <f t="shared" ref="J19:K19" si="1">B19+D19+F19+H19</f>
        <v>6888.008137</v>
      </c>
      <c r="K19" s="360">
        <f t="shared" si="1"/>
        <v>0</v>
      </c>
      <c r="L19" s="361">
        <f t="shared" ref="L19:L45" si="7">J19-K19</f>
        <v>6888.008137</v>
      </c>
    </row>
    <row r="20" ht="12.75" customHeight="1">
      <c r="A20" s="36" t="s">
        <v>151</v>
      </c>
      <c r="B20" s="362">
        <f t="shared" si="2"/>
        <v>757.680895</v>
      </c>
      <c r="C20" s="363">
        <v>0.0</v>
      </c>
      <c r="D20" s="364">
        <f t="shared" si="3"/>
        <v>4408.325207</v>
      </c>
      <c r="E20" s="363">
        <v>0.0</v>
      </c>
      <c r="F20" s="364">
        <f t="shared" si="4"/>
        <v>482.1605696</v>
      </c>
      <c r="G20" s="363">
        <v>0.0</v>
      </c>
      <c r="H20" s="364">
        <f t="shared" si="5"/>
        <v>1239.841465</v>
      </c>
      <c r="I20" s="363">
        <v>0.0</v>
      </c>
      <c r="J20" s="364">
        <f t="shared" ref="J20:K20" si="6">J19+B20+D20+F20+H20</f>
        <v>13776.01627</v>
      </c>
      <c r="K20" s="364">
        <f t="shared" si="6"/>
        <v>0</v>
      </c>
      <c r="L20" s="365">
        <f t="shared" si="7"/>
        <v>13776.01627</v>
      </c>
    </row>
    <row r="21" ht="12.75" customHeight="1">
      <c r="A21" s="36" t="s">
        <v>152</v>
      </c>
      <c r="B21" s="362">
        <f t="shared" si="2"/>
        <v>757.680895</v>
      </c>
      <c r="C21" s="363">
        <v>0.0</v>
      </c>
      <c r="D21" s="364">
        <f t="shared" si="3"/>
        <v>4408.325207</v>
      </c>
      <c r="E21" s="363">
        <v>0.0</v>
      </c>
      <c r="F21" s="364">
        <f t="shared" si="4"/>
        <v>482.1605696</v>
      </c>
      <c r="G21" s="363">
        <v>0.0</v>
      </c>
      <c r="H21" s="364">
        <f t="shared" si="5"/>
        <v>1239.841465</v>
      </c>
      <c r="I21" s="363">
        <v>0.0</v>
      </c>
      <c r="J21" s="364">
        <f t="shared" ref="J21:K21" si="8">J20+B21+D21+F21+H21</f>
        <v>20664.02441</v>
      </c>
      <c r="K21" s="364">
        <f t="shared" si="8"/>
        <v>0</v>
      </c>
      <c r="L21" s="365">
        <f t="shared" si="7"/>
        <v>20664.02441</v>
      </c>
    </row>
    <row r="22" ht="12.75" customHeight="1">
      <c r="A22" s="36" t="s">
        <v>153</v>
      </c>
      <c r="B22" s="362">
        <f t="shared" si="2"/>
        <v>757.680895</v>
      </c>
      <c r="C22" s="363">
        <v>0.0</v>
      </c>
      <c r="D22" s="364">
        <f t="shared" si="3"/>
        <v>4408.325207</v>
      </c>
      <c r="E22" s="363">
        <v>0.0</v>
      </c>
      <c r="F22" s="364">
        <f t="shared" si="4"/>
        <v>482.1605696</v>
      </c>
      <c r="G22" s="363">
        <v>0.0</v>
      </c>
      <c r="H22" s="364">
        <f t="shared" si="5"/>
        <v>1239.841465</v>
      </c>
      <c r="I22" s="363">
        <v>0.0</v>
      </c>
      <c r="J22" s="364">
        <f t="shared" ref="J22:K22" si="9">J21+B22+D22+F22+H22</f>
        <v>27552.03255</v>
      </c>
      <c r="K22" s="364">
        <f t="shared" si="9"/>
        <v>0</v>
      </c>
      <c r="L22" s="365">
        <f t="shared" si="7"/>
        <v>27552.03255</v>
      </c>
    </row>
    <row r="23" ht="12.75" customHeight="1">
      <c r="A23" s="36" t="s">
        <v>154</v>
      </c>
      <c r="B23" s="362">
        <f t="shared" si="2"/>
        <v>757.680895</v>
      </c>
      <c r="C23" s="363">
        <v>0.0</v>
      </c>
      <c r="D23" s="364">
        <f t="shared" si="3"/>
        <v>4408.325207</v>
      </c>
      <c r="E23" s="363">
        <v>0.0</v>
      </c>
      <c r="F23" s="364">
        <f t="shared" si="4"/>
        <v>482.1605696</v>
      </c>
      <c r="G23" s="363">
        <v>0.0</v>
      </c>
      <c r="H23" s="364">
        <f t="shared" si="5"/>
        <v>1239.841465</v>
      </c>
      <c r="I23" s="363">
        <v>0.0</v>
      </c>
      <c r="J23" s="364">
        <f t="shared" ref="J23:K23" si="10">J22+B23+D23+F23+H23</f>
        <v>34440.04068</v>
      </c>
      <c r="K23" s="364">
        <f t="shared" si="10"/>
        <v>0</v>
      </c>
      <c r="L23" s="365">
        <f t="shared" si="7"/>
        <v>34440.04068</v>
      </c>
    </row>
    <row r="24" ht="12.75" customHeight="1">
      <c r="A24" s="36" t="s">
        <v>155</v>
      </c>
      <c r="B24" s="362">
        <f t="shared" si="2"/>
        <v>757.680895</v>
      </c>
      <c r="C24" s="363">
        <v>0.0</v>
      </c>
      <c r="D24" s="364">
        <f t="shared" si="3"/>
        <v>4408.325207</v>
      </c>
      <c r="E24" s="363">
        <v>0.0</v>
      </c>
      <c r="F24" s="364">
        <f t="shared" si="4"/>
        <v>482.1605696</v>
      </c>
      <c r="G24" s="363">
        <v>0.0</v>
      </c>
      <c r="H24" s="364">
        <f t="shared" si="5"/>
        <v>1239.841465</v>
      </c>
      <c r="I24" s="363">
        <v>0.0</v>
      </c>
      <c r="J24" s="364">
        <f t="shared" ref="J24:K24" si="11">J23+B24+D24+F24+H24</f>
        <v>41328.04882</v>
      </c>
      <c r="K24" s="364">
        <f t="shared" si="11"/>
        <v>0</v>
      </c>
      <c r="L24" s="365">
        <f t="shared" si="7"/>
        <v>41328.04882</v>
      </c>
    </row>
    <row r="25" ht="12.75" customHeight="1">
      <c r="A25" s="36" t="s">
        <v>156</v>
      </c>
      <c r="B25" s="362">
        <f t="shared" si="2"/>
        <v>757.680895</v>
      </c>
      <c r="C25" s="363">
        <v>0.0</v>
      </c>
      <c r="D25" s="364">
        <f t="shared" si="3"/>
        <v>4408.325207</v>
      </c>
      <c r="E25" s="363">
        <v>0.0</v>
      </c>
      <c r="F25" s="364">
        <f t="shared" si="4"/>
        <v>482.1605696</v>
      </c>
      <c r="G25" s="363">
        <v>0.0</v>
      </c>
      <c r="H25" s="364">
        <f t="shared" si="5"/>
        <v>1239.841465</v>
      </c>
      <c r="I25" s="363">
        <v>0.0</v>
      </c>
      <c r="J25" s="364">
        <f t="shared" ref="J25:K25" si="12">J24+B25+D25+F25+H25</f>
        <v>48216.05696</v>
      </c>
      <c r="K25" s="364">
        <f t="shared" si="12"/>
        <v>0</v>
      </c>
      <c r="L25" s="365">
        <f t="shared" si="7"/>
        <v>48216.05696</v>
      </c>
    </row>
    <row r="26" ht="12.75" customHeight="1">
      <c r="A26" s="36" t="s">
        <v>157</v>
      </c>
      <c r="B26" s="362">
        <f t="shared" si="2"/>
        <v>757.680895</v>
      </c>
      <c r="C26" s="363">
        <v>0.0</v>
      </c>
      <c r="D26" s="364">
        <f t="shared" si="3"/>
        <v>4408.325207</v>
      </c>
      <c r="E26" s="363">
        <v>0.0</v>
      </c>
      <c r="F26" s="364">
        <f t="shared" si="4"/>
        <v>482.1605696</v>
      </c>
      <c r="G26" s="363">
        <v>0.0</v>
      </c>
      <c r="H26" s="364">
        <f t="shared" si="5"/>
        <v>1239.841465</v>
      </c>
      <c r="I26" s="363">
        <v>0.0</v>
      </c>
      <c r="J26" s="364">
        <f t="shared" ref="J26:K26" si="13">J25+B26+D26+F26+H26</f>
        <v>55104.06509</v>
      </c>
      <c r="K26" s="364">
        <f t="shared" si="13"/>
        <v>0</v>
      </c>
      <c r="L26" s="365">
        <f t="shared" si="7"/>
        <v>55104.06509</v>
      </c>
    </row>
    <row r="27" ht="12.75" customHeight="1">
      <c r="A27" s="36" t="s">
        <v>158</v>
      </c>
      <c r="B27" s="362">
        <f t="shared" si="2"/>
        <v>757.680895</v>
      </c>
      <c r="C27" s="363">
        <v>0.0</v>
      </c>
      <c r="D27" s="364">
        <f t="shared" si="3"/>
        <v>4408.325207</v>
      </c>
      <c r="E27" s="363">
        <v>0.0</v>
      </c>
      <c r="F27" s="364">
        <f t="shared" si="4"/>
        <v>482.1605696</v>
      </c>
      <c r="G27" s="363">
        <v>0.0</v>
      </c>
      <c r="H27" s="364">
        <f t="shared" si="5"/>
        <v>1239.841465</v>
      </c>
      <c r="I27" s="363">
        <v>0.0</v>
      </c>
      <c r="J27" s="364">
        <f t="shared" ref="J27:K27" si="14">J26+B27+D27+F27+H27</f>
        <v>61992.07323</v>
      </c>
      <c r="K27" s="364">
        <f t="shared" si="14"/>
        <v>0</v>
      </c>
      <c r="L27" s="365">
        <f t="shared" si="7"/>
        <v>61992.07323</v>
      </c>
    </row>
    <row r="28" ht="12.75" customHeight="1">
      <c r="A28" s="36" t="s">
        <v>159</v>
      </c>
      <c r="B28" s="362">
        <f t="shared" si="2"/>
        <v>757.680895</v>
      </c>
      <c r="C28" s="363">
        <v>0.0</v>
      </c>
      <c r="D28" s="364">
        <f t="shared" si="3"/>
        <v>4408.325207</v>
      </c>
      <c r="E28" s="363">
        <v>0.0</v>
      </c>
      <c r="F28" s="364">
        <f t="shared" si="4"/>
        <v>482.1605696</v>
      </c>
      <c r="G28" s="363">
        <v>0.0</v>
      </c>
      <c r="H28" s="364">
        <f t="shared" si="5"/>
        <v>1239.841465</v>
      </c>
      <c r="I28" s="363">
        <v>0.0</v>
      </c>
      <c r="J28" s="364">
        <f t="shared" ref="J28:K28" si="15">J27+B28+D28+F28+H28</f>
        <v>68880.08137</v>
      </c>
      <c r="K28" s="364">
        <f t="shared" si="15"/>
        <v>0</v>
      </c>
      <c r="L28" s="365">
        <f t="shared" si="7"/>
        <v>68880.08137</v>
      </c>
    </row>
    <row r="29" ht="12.75" customHeight="1">
      <c r="A29" s="36" t="s">
        <v>160</v>
      </c>
      <c r="B29" s="362">
        <f t="shared" si="2"/>
        <v>757.680895</v>
      </c>
      <c r="C29" s="363">
        <v>0.0</v>
      </c>
      <c r="D29" s="364">
        <f t="shared" si="3"/>
        <v>4408.325207</v>
      </c>
      <c r="E29" s="363">
        <v>0.0</v>
      </c>
      <c r="F29" s="364">
        <f t="shared" si="4"/>
        <v>482.1605696</v>
      </c>
      <c r="G29" s="363">
        <v>0.0</v>
      </c>
      <c r="H29" s="364">
        <f t="shared" si="5"/>
        <v>1239.841465</v>
      </c>
      <c r="I29" s="363">
        <v>0.0</v>
      </c>
      <c r="J29" s="364">
        <f t="shared" ref="J29:K29" si="16">J28+B29+D29+F29+H29</f>
        <v>75768.0895</v>
      </c>
      <c r="K29" s="364">
        <f t="shared" si="16"/>
        <v>0</v>
      </c>
      <c r="L29" s="365">
        <f t="shared" si="7"/>
        <v>75768.0895</v>
      </c>
    </row>
    <row r="30" ht="12.75" customHeight="1">
      <c r="A30" s="36" t="s">
        <v>161</v>
      </c>
      <c r="B30" s="362">
        <f t="shared" si="2"/>
        <v>757.680895</v>
      </c>
      <c r="C30" s="363">
        <v>0.0</v>
      </c>
      <c r="D30" s="364">
        <f t="shared" si="3"/>
        <v>4408.325207</v>
      </c>
      <c r="E30" s="363">
        <v>0.0</v>
      </c>
      <c r="F30" s="364">
        <f t="shared" si="4"/>
        <v>482.1605696</v>
      </c>
      <c r="G30" s="363">
        <v>0.0</v>
      </c>
      <c r="H30" s="364">
        <f t="shared" si="5"/>
        <v>1239.841465</v>
      </c>
      <c r="I30" s="363">
        <v>0.0</v>
      </c>
      <c r="J30" s="364">
        <f t="shared" ref="J30:K30" si="17">J29+B30+D30+F30+H30</f>
        <v>82656.09764</v>
      </c>
      <c r="K30" s="364">
        <f t="shared" si="17"/>
        <v>0</v>
      </c>
      <c r="L30" s="365">
        <f t="shared" si="7"/>
        <v>82656.09764</v>
      </c>
    </row>
    <row r="31" ht="12.75" customHeight="1">
      <c r="A31" s="36" t="s">
        <v>162</v>
      </c>
      <c r="B31" s="362">
        <f t="shared" si="2"/>
        <v>757.680895</v>
      </c>
      <c r="C31" s="363">
        <v>0.0</v>
      </c>
      <c r="D31" s="364">
        <f t="shared" si="3"/>
        <v>4408.325207</v>
      </c>
      <c r="E31" s="363">
        <v>0.0</v>
      </c>
      <c r="F31" s="364">
        <f t="shared" si="4"/>
        <v>482.1605696</v>
      </c>
      <c r="G31" s="363">
        <v>0.0</v>
      </c>
      <c r="H31" s="364">
        <f t="shared" si="5"/>
        <v>1239.841465</v>
      </c>
      <c r="I31" s="363">
        <v>0.0</v>
      </c>
      <c r="J31" s="364">
        <f t="shared" ref="J31:K31" si="18">J30+B31+D31+F31+H31</f>
        <v>89544.10578</v>
      </c>
      <c r="K31" s="364">
        <f t="shared" si="18"/>
        <v>0</v>
      </c>
      <c r="L31" s="365">
        <f t="shared" si="7"/>
        <v>89544.10578</v>
      </c>
    </row>
    <row r="32" ht="12.75" customHeight="1">
      <c r="A32" s="36" t="s">
        <v>163</v>
      </c>
      <c r="B32" s="362">
        <f t="shared" si="2"/>
        <v>757.680895</v>
      </c>
      <c r="C32" s="363">
        <v>0.0</v>
      </c>
      <c r="D32" s="364">
        <f t="shared" si="3"/>
        <v>4408.325207</v>
      </c>
      <c r="E32" s="363">
        <v>0.0</v>
      </c>
      <c r="F32" s="364">
        <f t="shared" si="4"/>
        <v>482.1605696</v>
      </c>
      <c r="G32" s="363">
        <v>0.0</v>
      </c>
      <c r="H32" s="364">
        <f t="shared" si="5"/>
        <v>1239.841465</v>
      </c>
      <c r="I32" s="363">
        <v>0.0</v>
      </c>
      <c r="J32" s="364">
        <f t="shared" ref="J32:K32" si="19">J31+B32+D32+F32+H32</f>
        <v>96432.11391</v>
      </c>
      <c r="K32" s="364">
        <f t="shared" si="19"/>
        <v>0</v>
      </c>
      <c r="L32" s="365">
        <f t="shared" si="7"/>
        <v>96432.11391</v>
      </c>
    </row>
    <row r="33" ht="12.75" customHeight="1">
      <c r="A33" s="36" t="s">
        <v>164</v>
      </c>
      <c r="B33" s="362">
        <f t="shared" si="2"/>
        <v>757.680895</v>
      </c>
      <c r="C33" s="363">
        <v>0.0</v>
      </c>
      <c r="D33" s="364">
        <f t="shared" si="3"/>
        <v>4408.325207</v>
      </c>
      <c r="E33" s="363">
        <v>0.0</v>
      </c>
      <c r="F33" s="364">
        <f t="shared" si="4"/>
        <v>482.1605696</v>
      </c>
      <c r="G33" s="363">
        <v>0.0</v>
      </c>
      <c r="H33" s="364">
        <f t="shared" si="5"/>
        <v>1239.841465</v>
      </c>
      <c r="I33" s="363">
        <v>0.0</v>
      </c>
      <c r="J33" s="364">
        <f t="shared" ref="J33:K33" si="20">J32+B33+D33+F33+H33</f>
        <v>103320.122</v>
      </c>
      <c r="K33" s="364">
        <f t="shared" si="20"/>
        <v>0</v>
      </c>
      <c r="L33" s="365">
        <f t="shared" si="7"/>
        <v>103320.122</v>
      </c>
    </row>
    <row r="34" ht="12.75" customHeight="1">
      <c r="A34" s="36" t="s">
        <v>165</v>
      </c>
      <c r="B34" s="362">
        <f t="shared" si="2"/>
        <v>757.680895</v>
      </c>
      <c r="C34" s="363">
        <v>0.0</v>
      </c>
      <c r="D34" s="364">
        <f t="shared" si="3"/>
        <v>4408.325207</v>
      </c>
      <c r="E34" s="363">
        <v>0.0</v>
      </c>
      <c r="F34" s="364">
        <f t="shared" si="4"/>
        <v>482.1605696</v>
      </c>
      <c r="G34" s="363">
        <v>0.0</v>
      </c>
      <c r="H34" s="364">
        <f t="shared" si="5"/>
        <v>1239.841465</v>
      </c>
      <c r="I34" s="363">
        <v>0.0</v>
      </c>
      <c r="J34" s="364">
        <f t="shared" ref="J34:K34" si="21">J33+B34+D34+F34+H34</f>
        <v>110208.1302</v>
      </c>
      <c r="K34" s="364">
        <f t="shared" si="21"/>
        <v>0</v>
      </c>
      <c r="L34" s="365">
        <f t="shared" si="7"/>
        <v>110208.1302</v>
      </c>
    </row>
    <row r="35" ht="12.75" customHeight="1">
      <c r="A35" s="36" t="s">
        <v>166</v>
      </c>
      <c r="B35" s="362">
        <f t="shared" si="2"/>
        <v>757.680895</v>
      </c>
      <c r="C35" s="363">
        <v>0.0</v>
      </c>
      <c r="D35" s="364">
        <f t="shared" si="3"/>
        <v>4408.325207</v>
      </c>
      <c r="E35" s="363">
        <v>0.0</v>
      </c>
      <c r="F35" s="364">
        <f t="shared" si="4"/>
        <v>482.1605696</v>
      </c>
      <c r="G35" s="363">
        <v>0.0</v>
      </c>
      <c r="H35" s="364">
        <f t="shared" si="5"/>
        <v>1239.841465</v>
      </c>
      <c r="I35" s="363">
        <v>0.0</v>
      </c>
      <c r="J35" s="364">
        <f t="shared" ref="J35:K35" si="22">J34+B35+D35+F35+H35</f>
        <v>117096.1383</v>
      </c>
      <c r="K35" s="364">
        <f t="shared" si="22"/>
        <v>0</v>
      </c>
      <c r="L35" s="365">
        <f t="shared" si="7"/>
        <v>117096.1383</v>
      </c>
    </row>
    <row r="36" ht="12.75" customHeight="1">
      <c r="A36" s="36" t="s">
        <v>167</v>
      </c>
      <c r="B36" s="362">
        <f t="shared" si="2"/>
        <v>757.680895</v>
      </c>
      <c r="C36" s="363">
        <v>0.0</v>
      </c>
      <c r="D36" s="364">
        <f t="shared" si="3"/>
        <v>4408.325207</v>
      </c>
      <c r="E36" s="363">
        <v>0.0</v>
      </c>
      <c r="F36" s="364">
        <f t="shared" si="4"/>
        <v>482.1605696</v>
      </c>
      <c r="G36" s="363">
        <v>0.0</v>
      </c>
      <c r="H36" s="364">
        <f t="shared" si="5"/>
        <v>1239.841465</v>
      </c>
      <c r="I36" s="363">
        <v>0.0</v>
      </c>
      <c r="J36" s="364">
        <f t="shared" ref="J36:K36" si="23">J35+B36+D36+F36+H36</f>
        <v>123984.1465</v>
      </c>
      <c r="K36" s="364">
        <f t="shared" si="23"/>
        <v>0</v>
      </c>
      <c r="L36" s="365">
        <f t="shared" si="7"/>
        <v>123984.1465</v>
      </c>
    </row>
    <row r="37" ht="12.75" customHeight="1">
      <c r="A37" s="36" t="s">
        <v>168</v>
      </c>
      <c r="B37" s="362">
        <f t="shared" si="2"/>
        <v>757.680895</v>
      </c>
      <c r="C37" s="363">
        <v>0.0</v>
      </c>
      <c r="D37" s="364">
        <f t="shared" si="3"/>
        <v>4408.325207</v>
      </c>
      <c r="E37" s="363">
        <v>0.0</v>
      </c>
      <c r="F37" s="364">
        <f t="shared" si="4"/>
        <v>482.1605696</v>
      </c>
      <c r="G37" s="363">
        <v>0.0</v>
      </c>
      <c r="H37" s="364">
        <f t="shared" si="5"/>
        <v>1239.841465</v>
      </c>
      <c r="I37" s="363">
        <v>0.0</v>
      </c>
      <c r="J37" s="364">
        <f t="shared" ref="J37:K37" si="24">J36+B37+D37+F37+H37</f>
        <v>130872.1546</v>
      </c>
      <c r="K37" s="364">
        <f t="shared" si="24"/>
        <v>0</v>
      </c>
      <c r="L37" s="365">
        <f t="shared" si="7"/>
        <v>130872.1546</v>
      </c>
    </row>
    <row r="38" ht="12.75" customHeight="1">
      <c r="A38" s="36" t="s">
        <v>169</v>
      </c>
      <c r="B38" s="362">
        <f t="shared" si="2"/>
        <v>757.680895</v>
      </c>
      <c r="C38" s="363">
        <v>0.0</v>
      </c>
      <c r="D38" s="364">
        <f t="shared" si="3"/>
        <v>4408.325207</v>
      </c>
      <c r="E38" s="363">
        <v>0.0</v>
      </c>
      <c r="F38" s="364">
        <f t="shared" si="4"/>
        <v>482.1605696</v>
      </c>
      <c r="G38" s="363">
        <v>0.0</v>
      </c>
      <c r="H38" s="364">
        <f t="shared" si="5"/>
        <v>1239.841465</v>
      </c>
      <c r="I38" s="363">
        <v>0.0</v>
      </c>
      <c r="J38" s="364">
        <f t="shared" ref="J38:K38" si="25">J37+B38+D38+F38+H38</f>
        <v>137760.1627</v>
      </c>
      <c r="K38" s="364">
        <f t="shared" si="25"/>
        <v>0</v>
      </c>
      <c r="L38" s="365">
        <f t="shared" si="7"/>
        <v>137760.1627</v>
      </c>
    </row>
    <row r="39" ht="12.75" customHeight="1">
      <c r="A39" s="36" t="s">
        <v>170</v>
      </c>
      <c r="B39" s="362">
        <f t="shared" si="2"/>
        <v>757.680895</v>
      </c>
      <c r="C39" s="363">
        <v>0.0</v>
      </c>
      <c r="D39" s="364">
        <f t="shared" si="3"/>
        <v>4408.325207</v>
      </c>
      <c r="E39" s="363">
        <v>0.0</v>
      </c>
      <c r="F39" s="364">
        <f t="shared" si="4"/>
        <v>482.1605696</v>
      </c>
      <c r="G39" s="363">
        <v>0.0</v>
      </c>
      <c r="H39" s="364">
        <f t="shared" si="5"/>
        <v>1239.841465</v>
      </c>
      <c r="I39" s="363">
        <v>0.0</v>
      </c>
      <c r="J39" s="364">
        <f t="shared" ref="J39:K39" si="26">J38+B39+D39+F39+H39</f>
        <v>144648.1709</v>
      </c>
      <c r="K39" s="364">
        <f t="shared" si="26"/>
        <v>0</v>
      </c>
      <c r="L39" s="365">
        <f t="shared" si="7"/>
        <v>144648.1709</v>
      </c>
    </row>
    <row r="40" ht="12.75" customHeight="1">
      <c r="A40" s="36" t="s">
        <v>171</v>
      </c>
      <c r="B40" s="362">
        <f t="shared" si="2"/>
        <v>757.680895</v>
      </c>
      <c r="C40" s="363">
        <v>0.0</v>
      </c>
      <c r="D40" s="364">
        <f t="shared" si="3"/>
        <v>4408.325207</v>
      </c>
      <c r="E40" s="363">
        <v>0.0</v>
      </c>
      <c r="F40" s="364">
        <f t="shared" si="4"/>
        <v>482.1605696</v>
      </c>
      <c r="G40" s="363">
        <v>0.0</v>
      </c>
      <c r="H40" s="364">
        <f t="shared" si="5"/>
        <v>1239.841465</v>
      </c>
      <c r="I40" s="363">
        <v>0.0</v>
      </c>
      <c r="J40" s="364">
        <f t="shared" ref="J40:K40" si="27">J39+B40+D40+F40+H40</f>
        <v>151536.179</v>
      </c>
      <c r="K40" s="364">
        <f t="shared" si="27"/>
        <v>0</v>
      </c>
      <c r="L40" s="365">
        <f t="shared" si="7"/>
        <v>151536.179</v>
      </c>
    </row>
    <row r="41" ht="12.75" customHeight="1">
      <c r="A41" s="36" t="s">
        <v>172</v>
      </c>
      <c r="B41" s="362">
        <f t="shared" si="2"/>
        <v>757.680895</v>
      </c>
      <c r="C41" s="363">
        <v>0.0</v>
      </c>
      <c r="D41" s="364">
        <f t="shared" si="3"/>
        <v>4408.325207</v>
      </c>
      <c r="E41" s="363">
        <v>0.0</v>
      </c>
      <c r="F41" s="364">
        <f t="shared" si="4"/>
        <v>482.1605696</v>
      </c>
      <c r="G41" s="363">
        <v>0.0</v>
      </c>
      <c r="H41" s="364">
        <f t="shared" si="5"/>
        <v>1239.841465</v>
      </c>
      <c r="I41" s="363">
        <v>0.0</v>
      </c>
      <c r="J41" s="364">
        <f t="shared" ref="J41:K41" si="28">J40+B41+D41+F41+H41</f>
        <v>158424.1871</v>
      </c>
      <c r="K41" s="364">
        <f t="shared" si="28"/>
        <v>0</v>
      </c>
      <c r="L41" s="365">
        <f t="shared" si="7"/>
        <v>158424.1871</v>
      </c>
    </row>
    <row r="42" ht="12.75" customHeight="1">
      <c r="A42" s="36" t="s">
        <v>173</v>
      </c>
      <c r="B42" s="362">
        <f t="shared" si="2"/>
        <v>757.680895</v>
      </c>
      <c r="C42" s="363">
        <v>0.0</v>
      </c>
      <c r="D42" s="364">
        <f t="shared" si="3"/>
        <v>4408.325207</v>
      </c>
      <c r="E42" s="363">
        <v>0.0</v>
      </c>
      <c r="F42" s="364">
        <f t="shared" si="4"/>
        <v>482.1605696</v>
      </c>
      <c r="G42" s="363">
        <v>0.0</v>
      </c>
      <c r="H42" s="364">
        <f t="shared" si="5"/>
        <v>1239.841465</v>
      </c>
      <c r="I42" s="363">
        <v>0.0</v>
      </c>
      <c r="J42" s="364">
        <f t="shared" ref="J42:K42" si="29">J41+B42+D42+F42+H42</f>
        <v>165312.1953</v>
      </c>
      <c r="K42" s="364">
        <f t="shared" si="29"/>
        <v>0</v>
      </c>
      <c r="L42" s="365">
        <f t="shared" si="7"/>
        <v>165312.1953</v>
      </c>
    </row>
    <row r="43" ht="12.75" customHeight="1">
      <c r="A43" s="36" t="s">
        <v>174</v>
      </c>
      <c r="B43" s="362">
        <f t="shared" si="2"/>
        <v>757.680895</v>
      </c>
      <c r="C43" s="363">
        <v>0.0</v>
      </c>
      <c r="D43" s="364">
        <f t="shared" si="3"/>
        <v>4408.325207</v>
      </c>
      <c r="E43" s="363">
        <v>0.0</v>
      </c>
      <c r="F43" s="364">
        <f t="shared" si="4"/>
        <v>482.1605696</v>
      </c>
      <c r="G43" s="363">
        <v>0.0</v>
      </c>
      <c r="H43" s="364">
        <f t="shared" si="5"/>
        <v>1239.841465</v>
      </c>
      <c r="I43" s="363">
        <v>0.0</v>
      </c>
      <c r="J43" s="364">
        <f t="shared" ref="J43:K43" si="30">J42+B43+D43+F43+H43</f>
        <v>172200.2034</v>
      </c>
      <c r="K43" s="364">
        <f t="shared" si="30"/>
        <v>0</v>
      </c>
      <c r="L43" s="365">
        <f t="shared" si="7"/>
        <v>172200.2034</v>
      </c>
    </row>
    <row r="44" ht="12.75" customHeight="1">
      <c r="A44" s="36" t="s">
        <v>175</v>
      </c>
      <c r="B44" s="362">
        <f t="shared" si="2"/>
        <v>757.680895</v>
      </c>
      <c r="C44" s="363">
        <v>0.0</v>
      </c>
      <c r="D44" s="364">
        <f t="shared" si="3"/>
        <v>4408.325207</v>
      </c>
      <c r="E44" s="363">
        <v>0.0</v>
      </c>
      <c r="F44" s="364">
        <f t="shared" si="4"/>
        <v>482.1605696</v>
      </c>
      <c r="G44" s="363">
        <v>0.0</v>
      </c>
      <c r="H44" s="364">
        <f t="shared" si="5"/>
        <v>1239.841465</v>
      </c>
      <c r="I44" s="363">
        <v>0.0</v>
      </c>
      <c r="J44" s="364">
        <f t="shared" ref="J44:K44" si="31">J43+B44+D44+F44+H44</f>
        <v>179088.2116</v>
      </c>
      <c r="K44" s="364">
        <f t="shared" si="31"/>
        <v>0</v>
      </c>
      <c r="L44" s="365">
        <f t="shared" si="7"/>
        <v>179088.2116</v>
      </c>
    </row>
    <row r="45" ht="12.75" customHeight="1">
      <c r="A45" s="36" t="s">
        <v>176</v>
      </c>
      <c r="B45" s="367">
        <f t="shared" si="2"/>
        <v>757.680895</v>
      </c>
      <c r="C45" s="368">
        <v>0.0</v>
      </c>
      <c r="D45" s="369">
        <f t="shared" si="3"/>
        <v>4408.325207</v>
      </c>
      <c r="E45" s="368">
        <v>0.0</v>
      </c>
      <c r="F45" s="369">
        <f t="shared" si="4"/>
        <v>482.1605696</v>
      </c>
      <c r="G45" s="368">
        <v>0.0</v>
      </c>
      <c r="H45" s="369">
        <f t="shared" si="5"/>
        <v>1239.841465</v>
      </c>
      <c r="I45" s="368">
        <v>0.0</v>
      </c>
      <c r="J45" s="369">
        <f t="shared" ref="J45:K45" si="32">J44+B45+D45+F45+H45</f>
        <v>185976.2197</v>
      </c>
      <c r="K45" s="369">
        <f t="shared" si="32"/>
        <v>0</v>
      </c>
      <c r="L45" s="370">
        <f t="shared" si="7"/>
        <v>185976.2197</v>
      </c>
    </row>
    <row r="46" ht="12.75" customHeight="1">
      <c r="K46" s="3"/>
      <c r="L46" s="391"/>
      <c r="M46" s="390"/>
      <c r="N46" s="391"/>
      <c r="O46" s="391"/>
      <c r="P46" s="391"/>
      <c r="Q46" s="391"/>
    </row>
    <row r="47" ht="12.75" customHeight="1">
      <c r="K47" s="3"/>
      <c r="L47" s="391"/>
      <c r="M47" s="390"/>
      <c r="N47" s="391"/>
      <c r="O47" s="391"/>
      <c r="P47" s="391"/>
      <c r="Q47" s="391"/>
    </row>
    <row r="48" ht="12.75" customHeight="1">
      <c r="A48" s="371" t="s">
        <v>177</v>
      </c>
      <c r="B48" s="108"/>
      <c r="C48" s="372" t="s">
        <v>178</v>
      </c>
      <c r="D48" s="373" t="s">
        <v>179</v>
      </c>
      <c r="E48" s="373" t="s">
        <v>180</v>
      </c>
      <c r="F48" s="374" t="s">
        <v>181</v>
      </c>
    </row>
    <row r="49" ht="14.25" customHeight="1">
      <c r="A49" s="375"/>
      <c r="B49" s="376"/>
      <c r="C49" s="377"/>
      <c r="D49" s="377"/>
      <c r="E49" s="377"/>
      <c r="F49" s="378"/>
    </row>
    <row r="50" ht="14.25" customHeight="1">
      <c r="A50" s="379"/>
      <c r="B50" s="380"/>
      <c r="C50" s="381"/>
      <c r="D50" s="381"/>
      <c r="E50" s="381"/>
      <c r="F50" s="382"/>
    </row>
    <row r="51" ht="14.25" customHeight="1">
      <c r="A51" s="379"/>
      <c r="B51" s="380"/>
      <c r="C51" s="381"/>
      <c r="D51" s="381"/>
      <c r="E51" s="381"/>
      <c r="F51" s="382"/>
    </row>
    <row r="52" ht="14.25" customHeight="1">
      <c r="A52" s="379"/>
      <c r="B52" s="380"/>
      <c r="C52" s="381"/>
      <c r="D52" s="381"/>
      <c r="E52" s="381"/>
      <c r="F52" s="382"/>
    </row>
    <row r="53" ht="14.25" customHeight="1">
      <c r="A53" s="379"/>
      <c r="B53" s="380"/>
      <c r="C53" s="381"/>
      <c r="D53" s="381"/>
      <c r="E53" s="381"/>
      <c r="F53" s="382"/>
    </row>
    <row r="54" ht="14.25" customHeight="1">
      <c r="A54" s="379"/>
      <c r="B54" s="380"/>
      <c r="C54" s="381"/>
      <c r="D54" s="381"/>
      <c r="E54" s="381"/>
      <c r="F54" s="382"/>
    </row>
    <row r="55" ht="14.25" customHeight="1">
      <c r="A55" s="379"/>
      <c r="B55" s="380"/>
      <c r="C55" s="381"/>
      <c r="D55" s="381"/>
      <c r="E55" s="381"/>
      <c r="F55" s="382"/>
    </row>
    <row r="56" ht="14.25" customHeight="1">
      <c r="A56" s="379"/>
      <c r="B56" s="380"/>
      <c r="C56" s="381"/>
      <c r="D56" s="381"/>
      <c r="E56" s="381"/>
      <c r="F56" s="382"/>
    </row>
    <row r="57" ht="14.25" customHeight="1">
      <c r="A57" s="379"/>
      <c r="B57" s="380"/>
      <c r="C57" s="381"/>
      <c r="D57" s="381"/>
      <c r="E57" s="381"/>
      <c r="F57" s="382"/>
    </row>
    <row r="58" ht="14.25" customHeight="1">
      <c r="A58" s="379"/>
      <c r="B58" s="380"/>
      <c r="C58" s="381"/>
      <c r="D58" s="381"/>
      <c r="E58" s="381"/>
      <c r="F58" s="382"/>
    </row>
    <row r="59" ht="14.25" customHeight="1">
      <c r="A59" s="379"/>
      <c r="B59" s="380"/>
      <c r="C59" s="381"/>
      <c r="D59" s="381"/>
      <c r="E59" s="381"/>
      <c r="F59" s="382"/>
    </row>
    <row r="60" ht="14.25" customHeight="1">
      <c r="A60" s="379"/>
      <c r="B60" s="380"/>
      <c r="C60" s="381"/>
      <c r="D60" s="381"/>
      <c r="E60" s="381"/>
      <c r="F60" s="382"/>
    </row>
    <row r="61" ht="14.25" customHeight="1">
      <c r="A61" s="379"/>
      <c r="B61" s="380"/>
      <c r="C61" s="381"/>
      <c r="D61" s="381"/>
      <c r="E61" s="381"/>
      <c r="F61" s="382"/>
    </row>
    <row r="62" ht="14.25" customHeight="1">
      <c r="A62" s="379"/>
      <c r="B62" s="380"/>
      <c r="C62" s="381"/>
      <c r="D62" s="381"/>
      <c r="E62" s="381"/>
      <c r="F62" s="382"/>
    </row>
    <row r="63" ht="14.25" customHeight="1">
      <c r="A63" s="379"/>
      <c r="B63" s="380"/>
      <c r="C63" s="381"/>
      <c r="D63" s="381"/>
      <c r="E63" s="381"/>
      <c r="F63" s="382"/>
    </row>
    <row r="64" ht="14.25" customHeight="1">
      <c r="A64" s="379"/>
      <c r="B64" s="380"/>
      <c r="C64" s="381"/>
      <c r="D64" s="381"/>
      <c r="E64" s="381"/>
      <c r="F64" s="382"/>
    </row>
    <row r="65" ht="14.25" customHeight="1">
      <c r="A65" s="379"/>
      <c r="B65" s="380"/>
      <c r="C65" s="381"/>
      <c r="D65" s="381"/>
      <c r="E65" s="381"/>
      <c r="F65" s="382"/>
    </row>
    <row r="66" ht="14.25" customHeight="1">
      <c r="A66" s="379"/>
      <c r="B66" s="380"/>
      <c r="C66" s="381"/>
      <c r="D66" s="381"/>
      <c r="E66" s="381"/>
      <c r="F66" s="382"/>
    </row>
    <row r="67" ht="14.25" customHeight="1">
      <c r="A67" s="379"/>
      <c r="B67" s="380"/>
      <c r="C67" s="381"/>
      <c r="D67" s="381"/>
      <c r="E67" s="381"/>
      <c r="F67" s="382"/>
    </row>
    <row r="68" ht="14.25" customHeight="1">
      <c r="A68" s="379"/>
      <c r="B68" s="380"/>
      <c r="C68" s="381"/>
      <c r="D68" s="381"/>
      <c r="E68" s="381"/>
      <c r="F68" s="382"/>
    </row>
    <row r="69" ht="12.75" customHeight="1">
      <c r="A69" s="383"/>
      <c r="B69" s="384"/>
      <c r="C69" s="385"/>
      <c r="D69" s="385"/>
      <c r="E69" s="385"/>
      <c r="F69" s="386"/>
    </row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3">
    <mergeCell ref="J1:M1"/>
    <mergeCell ref="D2:E2"/>
    <mergeCell ref="D3:E3"/>
    <mergeCell ref="D4:E4"/>
    <mergeCell ref="D6:E6"/>
    <mergeCell ref="D7:E7"/>
    <mergeCell ref="D8:E8"/>
    <mergeCell ref="D10:E10"/>
    <mergeCell ref="D11:E11"/>
    <mergeCell ref="D12:E12"/>
    <mergeCell ref="D14:E14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65:B65"/>
    <mergeCell ref="A66:B66"/>
    <mergeCell ref="A67:B67"/>
    <mergeCell ref="A68:B68"/>
    <mergeCell ref="A69:B69"/>
    <mergeCell ref="A58:B58"/>
    <mergeCell ref="A59:B59"/>
    <mergeCell ref="A60:B60"/>
    <mergeCell ref="A61:B61"/>
    <mergeCell ref="A62:B62"/>
    <mergeCell ref="A63:B63"/>
    <mergeCell ref="A64:B64"/>
  </mergeCells>
  <conditionalFormatting sqref="K19:K45">
    <cfRule type="cellIs" dxfId="1" priority="1" operator="greaterThan">
      <formula>$B$3</formula>
    </cfRule>
  </conditionalFormatting>
  <printOptions/>
  <pageMargins bottom="0.75" footer="0.0" header="0.0" left="0.7" right="0.7" top="0.75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25"/>
    <col customWidth="1" min="2" max="2" width="20.13"/>
    <col customWidth="1" min="3" max="3" width="15.0"/>
    <col customWidth="1" min="4" max="4" width="15.63"/>
    <col customWidth="1" min="5" max="5" width="26.75"/>
    <col customWidth="1" min="6" max="6" width="18.25"/>
    <col customWidth="1" min="7" max="7" width="16.63"/>
    <col customWidth="1" min="8" max="8" width="20.75"/>
    <col customWidth="1" min="9" max="12" width="15.75"/>
    <col customWidth="1" min="13" max="13" width="13.63"/>
    <col customWidth="1" min="14" max="26" width="8.63"/>
  </cols>
  <sheetData>
    <row r="1" ht="12.75" customHeight="1">
      <c r="A1" s="310" t="s">
        <v>196</v>
      </c>
      <c r="J1" s="389" t="s">
        <v>118</v>
      </c>
      <c r="K1" s="169"/>
      <c r="L1" s="169"/>
      <c r="M1" s="108"/>
    </row>
    <row r="2" ht="12.75" customHeight="1">
      <c r="D2" s="312" t="s">
        <v>119</v>
      </c>
      <c r="E2" s="167"/>
      <c r="F2" s="345">
        <f>'Input Data'!O12</f>
        <v>8500</v>
      </c>
      <c r="G2" s="398"/>
      <c r="H2" s="315" t="s">
        <v>197</v>
      </c>
      <c r="J2" s="392" t="s">
        <v>115</v>
      </c>
      <c r="K2" s="393" t="s">
        <v>87</v>
      </c>
      <c r="L2" s="393" t="s">
        <v>88</v>
      </c>
      <c r="M2" s="394" t="s">
        <v>86</v>
      </c>
    </row>
    <row r="3" ht="12.75" customHeight="1">
      <c r="A3" s="319" t="s">
        <v>121</v>
      </c>
      <c r="B3" s="320">
        <f>'Sales Goals'!I19</f>
        <v>137764.2327</v>
      </c>
      <c r="D3" s="321" t="s">
        <v>122</v>
      </c>
      <c r="E3" s="172"/>
      <c r="F3" s="348">
        <f>B3*B9</f>
        <v>88169.10894</v>
      </c>
      <c r="G3" s="349" t="s">
        <v>123</v>
      </c>
      <c r="H3" s="324">
        <f>'Input Data'!O13</f>
        <v>0.5</v>
      </c>
      <c r="I3" s="3"/>
      <c r="J3" s="325"/>
      <c r="K3" s="326"/>
      <c r="L3" s="326"/>
      <c r="M3" s="327"/>
    </row>
    <row r="4" ht="15.75" customHeight="1">
      <c r="B4" s="36"/>
      <c r="D4" s="328" t="s">
        <v>124</v>
      </c>
      <c r="E4" s="108"/>
      <c r="F4" s="387">
        <f>F3/F2</f>
        <v>10.37283635</v>
      </c>
      <c r="G4" s="330"/>
      <c r="H4" s="331">
        <f>F4/H3</f>
        <v>20.74567269</v>
      </c>
      <c r="I4" s="3"/>
      <c r="J4" s="325">
        <f>H4/'Input Data'!G30</f>
        <v>0.3771940489</v>
      </c>
      <c r="K4" s="326"/>
      <c r="L4" s="326"/>
      <c r="M4" s="327">
        <f>F4/'Input Data'!G34</f>
        <v>0.4714925612</v>
      </c>
    </row>
    <row r="5" ht="12.75" customHeight="1">
      <c r="A5" s="332" t="s">
        <v>125</v>
      </c>
      <c r="B5" s="320">
        <f>((B3/31)*7)/'Break-even'!C25</f>
        <v>6221.61051</v>
      </c>
      <c r="F5" s="36"/>
      <c r="G5" s="36"/>
      <c r="H5" s="36"/>
      <c r="J5" s="325"/>
      <c r="K5" s="326"/>
      <c r="L5" s="326"/>
      <c r="M5" s="327"/>
    </row>
    <row r="6" ht="12.75" customHeight="1">
      <c r="B6" s="36"/>
      <c r="D6" s="312" t="s">
        <v>126</v>
      </c>
      <c r="E6" s="167"/>
      <c r="F6" s="345">
        <f>'Input Data'!O16</f>
        <v>400</v>
      </c>
      <c r="G6" s="346"/>
      <c r="H6" s="333" t="s">
        <v>198</v>
      </c>
      <c r="J6" s="334"/>
      <c r="K6" s="326"/>
      <c r="L6" s="326"/>
      <c r="M6" s="327"/>
    </row>
    <row r="7" ht="12.75" customHeight="1">
      <c r="A7" s="335" t="s">
        <v>35</v>
      </c>
      <c r="B7" s="320">
        <f>Budget!C36</f>
        <v>4885.054388</v>
      </c>
      <c r="D7" s="321" t="s">
        <v>128</v>
      </c>
      <c r="E7" s="172"/>
      <c r="F7" s="348">
        <f>B3*B11</f>
        <v>16531.70793</v>
      </c>
      <c r="G7" s="349" t="s">
        <v>123</v>
      </c>
      <c r="H7" s="324">
        <f>'Input Data'!O17</f>
        <v>1</v>
      </c>
      <c r="J7" s="325"/>
      <c r="K7" s="336"/>
      <c r="L7" s="326"/>
      <c r="M7" s="327"/>
    </row>
    <row r="8" ht="12.75" customHeight="1">
      <c r="B8" s="36"/>
      <c r="D8" s="328" t="s">
        <v>129</v>
      </c>
      <c r="E8" s="108"/>
      <c r="F8" s="351">
        <f>F7/F6</f>
        <v>41.32926982</v>
      </c>
      <c r="G8" s="330"/>
      <c r="H8" s="338">
        <f> F8/H7</f>
        <v>41.32926982</v>
      </c>
      <c r="J8" s="325"/>
      <c r="K8" s="326">
        <f>H8/'Input Data'!G31</f>
        <v>0.6262010578</v>
      </c>
      <c r="L8" s="326"/>
      <c r="M8" s="327"/>
    </row>
    <row r="9" ht="12.75" customHeight="1">
      <c r="A9" s="339" t="s">
        <v>130</v>
      </c>
      <c r="B9" s="340">
        <f>'Input Data'!O6</f>
        <v>0.64</v>
      </c>
      <c r="F9" s="36"/>
      <c r="G9" s="36"/>
      <c r="H9" s="36"/>
      <c r="J9" s="325"/>
      <c r="K9" s="326"/>
      <c r="L9" s="326"/>
      <c r="M9" s="327"/>
    </row>
    <row r="10" ht="12.75" customHeight="1">
      <c r="B10" s="36"/>
      <c r="D10" s="312" t="s">
        <v>131</v>
      </c>
      <c r="E10" s="167"/>
      <c r="F10" s="345">
        <f>'Input Data'!O20</f>
        <v>150</v>
      </c>
      <c r="G10" s="346"/>
      <c r="H10" s="333" t="s">
        <v>198</v>
      </c>
      <c r="J10" s="325"/>
      <c r="K10" s="326"/>
      <c r="L10" s="326"/>
      <c r="M10" s="327"/>
    </row>
    <row r="11" ht="12.75" customHeight="1">
      <c r="A11" s="339" t="s">
        <v>132</v>
      </c>
      <c r="B11" s="340">
        <f>'Input Data'!O7</f>
        <v>0.12</v>
      </c>
      <c r="D11" s="321" t="s">
        <v>133</v>
      </c>
      <c r="E11" s="172"/>
      <c r="F11" s="348">
        <f>B3*B13</f>
        <v>8265.853963</v>
      </c>
      <c r="G11" s="349" t="s">
        <v>123</v>
      </c>
      <c r="H11" s="324">
        <f>'Input Data'!O21</f>
        <v>1</v>
      </c>
      <c r="J11" s="325"/>
      <c r="K11" s="326"/>
      <c r="L11" s="326"/>
      <c r="M11" s="327"/>
    </row>
    <row r="12" ht="12.75" customHeight="1">
      <c r="A12" s="278"/>
      <c r="B12" s="342"/>
      <c r="D12" s="328" t="s">
        <v>134</v>
      </c>
      <c r="E12" s="169"/>
      <c r="F12" s="351">
        <f>F11/F10</f>
        <v>55.10569309</v>
      </c>
      <c r="G12" s="330"/>
      <c r="H12" s="338">
        <f> F12/H11</f>
        <v>55.10569309</v>
      </c>
      <c r="J12" s="325"/>
      <c r="K12" s="326">
        <f>H12/'Input Data'!G32</f>
        <v>0.5893657015</v>
      </c>
      <c r="L12" s="326"/>
      <c r="M12" s="327"/>
    </row>
    <row r="13" ht="12.75" customHeight="1">
      <c r="A13" s="328" t="s">
        <v>135</v>
      </c>
      <c r="B13" s="340">
        <f>'Input Data'!O8</f>
        <v>0.06</v>
      </c>
      <c r="G13" s="36"/>
      <c r="J13" s="325"/>
      <c r="K13" s="326"/>
      <c r="L13" s="326"/>
      <c r="M13" s="327"/>
    </row>
    <row r="14" ht="12.75" customHeight="1">
      <c r="D14" s="312" t="s">
        <v>136</v>
      </c>
      <c r="E14" s="79"/>
      <c r="F14" s="345">
        <f>'Input Data'!O24</f>
        <v>750</v>
      </c>
      <c r="G14" s="346"/>
      <c r="H14" s="333" t="s">
        <v>198</v>
      </c>
      <c r="J14" s="325"/>
      <c r="K14" s="326"/>
      <c r="L14" s="326"/>
      <c r="M14" s="327"/>
    </row>
    <row r="15" ht="12.75" customHeight="1">
      <c r="A15" s="328" t="s">
        <v>137</v>
      </c>
      <c r="B15" s="324">
        <f>'Input Data'!O9</f>
        <v>0.18</v>
      </c>
      <c r="D15" s="347" t="s">
        <v>128</v>
      </c>
      <c r="E15" s="165"/>
      <c r="F15" s="348">
        <f>B3*B15</f>
        <v>24797.56189</v>
      </c>
      <c r="G15" s="349" t="s">
        <v>123</v>
      </c>
      <c r="H15" s="324">
        <f>'Input Data'!O25</f>
        <v>1</v>
      </c>
      <c r="J15" s="325"/>
      <c r="K15" s="326"/>
      <c r="L15" s="326"/>
      <c r="M15" s="327"/>
    </row>
    <row r="16" ht="12.75" customHeight="1">
      <c r="D16" s="328" t="s">
        <v>138</v>
      </c>
      <c r="E16" s="350"/>
      <c r="F16" s="351">
        <f>F15/F14</f>
        <v>33.06341585</v>
      </c>
      <c r="G16" s="330"/>
      <c r="H16" s="338">
        <f> F16/H15</f>
        <v>33.06341585</v>
      </c>
      <c r="J16" s="352"/>
      <c r="K16" s="388"/>
      <c r="L16" s="353" t="str">
        <f>H16/'Input Data'!G33</f>
        <v>#DIV/0!</v>
      </c>
      <c r="M16" s="354"/>
    </row>
    <row r="17" ht="12.75" customHeight="1"/>
    <row r="18" ht="12.75" customHeight="1">
      <c r="B18" s="399" t="s">
        <v>139</v>
      </c>
      <c r="C18" s="181" t="s">
        <v>140</v>
      </c>
      <c r="D18" s="181" t="s">
        <v>141</v>
      </c>
      <c r="E18" s="400" t="s">
        <v>184</v>
      </c>
      <c r="F18" s="181" t="s">
        <v>143</v>
      </c>
      <c r="G18" s="181" t="s">
        <v>185</v>
      </c>
      <c r="H18" s="181" t="s">
        <v>145</v>
      </c>
      <c r="I18" s="181" t="s">
        <v>146</v>
      </c>
      <c r="J18" s="181" t="s">
        <v>147</v>
      </c>
      <c r="K18" s="181" t="s">
        <v>148</v>
      </c>
      <c r="L18" s="181" t="s">
        <v>149</v>
      </c>
    </row>
    <row r="19" ht="12.75" customHeight="1">
      <c r="A19" s="36" t="s">
        <v>150</v>
      </c>
      <c r="B19" s="358">
        <f t="shared" ref="B19:B45" si="2">$B$5*$B$11</f>
        <v>746.5932612</v>
      </c>
      <c r="C19" s="305">
        <v>0.0</v>
      </c>
      <c r="D19" s="359">
        <f t="shared" ref="D19:D45" si="3">$B$5*$B$9</f>
        <v>3981.830726</v>
      </c>
      <c r="E19" s="305">
        <v>0.0</v>
      </c>
      <c r="F19" s="359">
        <f t="shared" ref="F19:F45" si="4">$B$5*$B$13</f>
        <v>373.2966306</v>
      </c>
      <c r="G19" s="305">
        <v>0.0</v>
      </c>
      <c r="H19" s="359">
        <f t="shared" ref="H19:H45" si="5">$B$5*$B$15</f>
        <v>1119.889892</v>
      </c>
      <c r="I19" s="305">
        <v>0.0</v>
      </c>
      <c r="J19" s="359">
        <f t="shared" ref="J19:K19" si="1">B19+D19+F19+H19</f>
        <v>6221.61051</v>
      </c>
      <c r="K19" s="360">
        <f t="shared" si="1"/>
        <v>0</v>
      </c>
      <c r="L19" s="361">
        <f t="shared" ref="L19:L45" si="7">J19-K19</f>
        <v>6221.61051</v>
      </c>
    </row>
    <row r="20" ht="12.75" customHeight="1">
      <c r="A20" s="36" t="s">
        <v>151</v>
      </c>
      <c r="B20" s="362">
        <f t="shared" si="2"/>
        <v>746.5932612</v>
      </c>
      <c r="C20" s="363">
        <v>0.0</v>
      </c>
      <c r="D20" s="364">
        <f t="shared" si="3"/>
        <v>3981.830726</v>
      </c>
      <c r="E20" s="363">
        <v>0.0</v>
      </c>
      <c r="F20" s="364">
        <f t="shared" si="4"/>
        <v>373.2966306</v>
      </c>
      <c r="G20" s="363">
        <v>0.0</v>
      </c>
      <c r="H20" s="364">
        <f t="shared" si="5"/>
        <v>1119.889892</v>
      </c>
      <c r="I20" s="363">
        <v>0.0</v>
      </c>
      <c r="J20" s="364">
        <f t="shared" ref="J20:K20" si="6">J19+B20+D20+F20+H20</f>
        <v>12443.22102</v>
      </c>
      <c r="K20" s="364">
        <f t="shared" si="6"/>
        <v>0</v>
      </c>
      <c r="L20" s="365">
        <f t="shared" si="7"/>
        <v>12443.22102</v>
      </c>
    </row>
    <row r="21" ht="12.75" customHeight="1">
      <c r="A21" s="36" t="s">
        <v>152</v>
      </c>
      <c r="B21" s="362">
        <f t="shared" si="2"/>
        <v>746.5932612</v>
      </c>
      <c r="C21" s="363">
        <v>0.0</v>
      </c>
      <c r="D21" s="364">
        <f t="shared" si="3"/>
        <v>3981.830726</v>
      </c>
      <c r="E21" s="363">
        <v>0.0</v>
      </c>
      <c r="F21" s="364">
        <f t="shared" si="4"/>
        <v>373.2966306</v>
      </c>
      <c r="G21" s="363">
        <v>0.0</v>
      </c>
      <c r="H21" s="364">
        <f t="shared" si="5"/>
        <v>1119.889892</v>
      </c>
      <c r="I21" s="363">
        <v>0.0</v>
      </c>
      <c r="J21" s="364">
        <f t="shared" ref="J21:K21" si="8">J20+B21+D21+F21+H21</f>
        <v>18664.83153</v>
      </c>
      <c r="K21" s="364">
        <f t="shared" si="8"/>
        <v>0</v>
      </c>
      <c r="L21" s="365">
        <f t="shared" si="7"/>
        <v>18664.83153</v>
      </c>
    </row>
    <row r="22" ht="12.75" customHeight="1">
      <c r="A22" s="36" t="s">
        <v>153</v>
      </c>
      <c r="B22" s="362">
        <f t="shared" si="2"/>
        <v>746.5932612</v>
      </c>
      <c r="C22" s="363">
        <v>0.0</v>
      </c>
      <c r="D22" s="364">
        <f t="shared" si="3"/>
        <v>3981.830726</v>
      </c>
      <c r="E22" s="363">
        <v>0.0</v>
      </c>
      <c r="F22" s="364">
        <f t="shared" si="4"/>
        <v>373.2966306</v>
      </c>
      <c r="G22" s="363">
        <v>0.0</v>
      </c>
      <c r="H22" s="364">
        <f t="shared" si="5"/>
        <v>1119.889892</v>
      </c>
      <c r="I22" s="363">
        <v>0.0</v>
      </c>
      <c r="J22" s="364">
        <f t="shared" ref="J22:K22" si="9">J21+B22+D22+F22+H22</f>
        <v>24886.44204</v>
      </c>
      <c r="K22" s="364">
        <f t="shared" si="9"/>
        <v>0</v>
      </c>
      <c r="L22" s="365">
        <f t="shared" si="7"/>
        <v>24886.44204</v>
      </c>
    </row>
    <row r="23" ht="12.75" customHeight="1">
      <c r="A23" s="36" t="s">
        <v>154</v>
      </c>
      <c r="B23" s="362">
        <f t="shared" si="2"/>
        <v>746.5932612</v>
      </c>
      <c r="C23" s="363">
        <v>0.0</v>
      </c>
      <c r="D23" s="364">
        <f t="shared" si="3"/>
        <v>3981.830726</v>
      </c>
      <c r="E23" s="363">
        <v>0.0</v>
      </c>
      <c r="F23" s="364">
        <f t="shared" si="4"/>
        <v>373.2966306</v>
      </c>
      <c r="G23" s="363">
        <v>0.0</v>
      </c>
      <c r="H23" s="364">
        <f t="shared" si="5"/>
        <v>1119.889892</v>
      </c>
      <c r="I23" s="363">
        <v>0.0</v>
      </c>
      <c r="J23" s="364">
        <f t="shared" ref="J23:K23" si="10">J22+B23+D23+F23+H23</f>
        <v>31108.05255</v>
      </c>
      <c r="K23" s="364">
        <f t="shared" si="10"/>
        <v>0</v>
      </c>
      <c r="L23" s="365">
        <f t="shared" si="7"/>
        <v>31108.05255</v>
      </c>
    </row>
    <row r="24" ht="12.75" customHeight="1">
      <c r="A24" s="36" t="s">
        <v>155</v>
      </c>
      <c r="B24" s="362">
        <f t="shared" si="2"/>
        <v>746.5932612</v>
      </c>
      <c r="C24" s="363">
        <v>0.0</v>
      </c>
      <c r="D24" s="364">
        <f t="shared" si="3"/>
        <v>3981.830726</v>
      </c>
      <c r="E24" s="363">
        <v>0.0</v>
      </c>
      <c r="F24" s="364">
        <f t="shared" si="4"/>
        <v>373.2966306</v>
      </c>
      <c r="G24" s="363">
        <v>0.0</v>
      </c>
      <c r="H24" s="364">
        <f t="shared" si="5"/>
        <v>1119.889892</v>
      </c>
      <c r="I24" s="363">
        <v>0.0</v>
      </c>
      <c r="J24" s="364">
        <f t="shared" ref="J24:K24" si="11">J23+B24+D24+F24+H24</f>
        <v>37329.66306</v>
      </c>
      <c r="K24" s="364">
        <f t="shared" si="11"/>
        <v>0</v>
      </c>
      <c r="L24" s="365">
        <f t="shared" si="7"/>
        <v>37329.66306</v>
      </c>
    </row>
    <row r="25" ht="12.75" customHeight="1">
      <c r="A25" s="36" t="s">
        <v>156</v>
      </c>
      <c r="B25" s="362">
        <f t="shared" si="2"/>
        <v>746.5932612</v>
      </c>
      <c r="C25" s="363">
        <v>0.0</v>
      </c>
      <c r="D25" s="364">
        <f t="shared" si="3"/>
        <v>3981.830726</v>
      </c>
      <c r="E25" s="363">
        <v>0.0</v>
      </c>
      <c r="F25" s="364">
        <f t="shared" si="4"/>
        <v>373.2966306</v>
      </c>
      <c r="G25" s="363">
        <v>0.0</v>
      </c>
      <c r="H25" s="364">
        <f t="shared" si="5"/>
        <v>1119.889892</v>
      </c>
      <c r="I25" s="363">
        <v>0.0</v>
      </c>
      <c r="J25" s="364">
        <f t="shared" ref="J25:K25" si="12">J24+B25+D25+F25+H25</f>
        <v>43551.27357</v>
      </c>
      <c r="K25" s="364">
        <f t="shared" si="12"/>
        <v>0</v>
      </c>
      <c r="L25" s="365">
        <f t="shared" si="7"/>
        <v>43551.27357</v>
      </c>
    </row>
    <row r="26" ht="12.75" customHeight="1">
      <c r="A26" s="36" t="s">
        <v>157</v>
      </c>
      <c r="B26" s="362">
        <f t="shared" si="2"/>
        <v>746.5932612</v>
      </c>
      <c r="C26" s="363">
        <v>0.0</v>
      </c>
      <c r="D26" s="364">
        <f t="shared" si="3"/>
        <v>3981.830726</v>
      </c>
      <c r="E26" s="363">
        <v>0.0</v>
      </c>
      <c r="F26" s="364">
        <f t="shared" si="4"/>
        <v>373.2966306</v>
      </c>
      <c r="G26" s="363">
        <v>0.0</v>
      </c>
      <c r="H26" s="364">
        <f t="shared" si="5"/>
        <v>1119.889892</v>
      </c>
      <c r="I26" s="363">
        <v>0.0</v>
      </c>
      <c r="J26" s="364">
        <f t="shared" ref="J26:K26" si="13">J25+B26+D26+F26+H26</f>
        <v>49772.88408</v>
      </c>
      <c r="K26" s="364">
        <f t="shared" si="13"/>
        <v>0</v>
      </c>
      <c r="L26" s="365">
        <f t="shared" si="7"/>
        <v>49772.88408</v>
      </c>
    </row>
    <row r="27" ht="12.75" customHeight="1">
      <c r="A27" s="36" t="s">
        <v>158</v>
      </c>
      <c r="B27" s="362">
        <f t="shared" si="2"/>
        <v>746.5932612</v>
      </c>
      <c r="C27" s="363">
        <v>0.0</v>
      </c>
      <c r="D27" s="364">
        <f t="shared" si="3"/>
        <v>3981.830726</v>
      </c>
      <c r="E27" s="363">
        <v>0.0</v>
      </c>
      <c r="F27" s="364">
        <f t="shared" si="4"/>
        <v>373.2966306</v>
      </c>
      <c r="G27" s="363">
        <v>0.0</v>
      </c>
      <c r="H27" s="364">
        <f t="shared" si="5"/>
        <v>1119.889892</v>
      </c>
      <c r="I27" s="363">
        <v>0.0</v>
      </c>
      <c r="J27" s="364">
        <f t="shared" ref="J27:K27" si="14">J26+B27+D27+F27+H27</f>
        <v>55994.49459</v>
      </c>
      <c r="K27" s="364">
        <f t="shared" si="14"/>
        <v>0</v>
      </c>
      <c r="L27" s="365">
        <f t="shared" si="7"/>
        <v>55994.49459</v>
      </c>
    </row>
    <row r="28" ht="12.75" customHeight="1">
      <c r="A28" s="36" t="s">
        <v>159</v>
      </c>
      <c r="B28" s="362">
        <f t="shared" si="2"/>
        <v>746.5932612</v>
      </c>
      <c r="C28" s="363">
        <v>0.0</v>
      </c>
      <c r="D28" s="364">
        <f t="shared" si="3"/>
        <v>3981.830726</v>
      </c>
      <c r="E28" s="363">
        <v>0.0</v>
      </c>
      <c r="F28" s="364">
        <f t="shared" si="4"/>
        <v>373.2966306</v>
      </c>
      <c r="G28" s="363">
        <v>0.0</v>
      </c>
      <c r="H28" s="364">
        <f t="shared" si="5"/>
        <v>1119.889892</v>
      </c>
      <c r="I28" s="363">
        <v>0.0</v>
      </c>
      <c r="J28" s="364">
        <f t="shared" ref="J28:K28" si="15">J27+B28+D28+F28+H28</f>
        <v>62216.1051</v>
      </c>
      <c r="K28" s="364">
        <f t="shared" si="15"/>
        <v>0</v>
      </c>
      <c r="L28" s="365">
        <f t="shared" si="7"/>
        <v>62216.1051</v>
      </c>
    </row>
    <row r="29" ht="12.75" customHeight="1">
      <c r="A29" s="36" t="s">
        <v>160</v>
      </c>
      <c r="B29" s="362">
        <f t="shared" si="2"/>
        <v>746.5932612</v>
      </c>
      <c r="C29" s="363">
        <v>0.0</v>
      </c>
      <c r="D29" s="364">
        <f t="shared" si="3"/>
        <v>3981.830726</v>
      </c>
      <c r="E29" s="363">
        <v>0.0</v>
      </c>
      <c r="F29" s="364">
        <f t="shared" si="4"/>
        <v>373.2966306</v>
      </c>
      <c r="G29" s="363">
        <v>0.0</v>
      </c>
      <c r="H29" s="364">
        <f t="shared" si="5"/>
        <v>1119.889892</v>
      </c>
      <c r="I29" s="363">
        <v>0.0</v>
      </c>
      <c r="J29" s="364">
        <f t="shared" ref="J29:K29" si="16">J28+B29+D29+F29+H29</f>
        <v>68437.71561</v>
      </c>
      <c r="K29" s="364">
        <f t="shared" si="16"/>
        <v>0</v>
      </c>
      <c r="L29" s="365">
        <f t="shared" si="7"/>
        <v>68437.71561</v>
      </c>
    </row>
    <row r="30" ht="12.75" customHeight="1">
      <c r="A30" s="36" t="s">
        <v>161</v>
      </c>
      <c r="B30" s="362">
        <f t="shared" si="2"/>
        <v>746.5932612</v>
      </c>
      <c r="C30" s="363">
        <v>0.0</v>
      </c>
      <c r="D30" s="364">
        <f t="shared" si="3"/>
        <v>3981.830726</v>
      </c>
      <c r="E30" s="363">
        <v>0.0</v>
      </c>
      <c r="F30" s="364">
        <f t="shared" si="4"/>
        <v>373.2966306</v>
      </c>
      <c r="G30" s="363">
        <v>0.0</v>
      </c>
      <c r="H30" s="364">
        <f t="shared" si="5"/>
        <v>1119.889892</v>
      </c>
      <c r="I30" s="363">
        <v>0.0</v>
      </c>
      <c r="J30" s="364">
        <f t="shared" ref="J30:K30" si="17">J29+B30+D30+F30+H30</f>
        <v>74659.32612</v>
      </c>
      <c r="K30" s="364">
        <f t="shared" si="17"/>
        <v>0</v>
      </c>
      <c r="L30" s="365">
        <f t="shared" si="7"/>
        <v>74659.32612</v>
      </c>
    </row>
    <row r="31" ht="12.75" customHeight="1">
      <c r="A31" s="36" t="s">
        <v>162</v>
      </c>
      <c r="B31" s="362">
        <f t="shared" si="2"/>
        <v>746.5932612</v>
      </c>
      <c r="C31" s="363">
        <v>0.0</v>
      </c>
      <c r="D31" s="364">
        <f t="shared" si="3"/>
        <v>3981.830726</v>
      </c>
      <c r="E31" s="363">
        <v>0.0</v>
      </c>
      <c r="F31" s="364">
        <f t="shared" si="4"/>
        <v>373.2966306</v>
      </c>
      <c r="G31" s="363">
        <v>0.0</v>
      </c>
      <c r="H31" s="364">
        <f t="shared" si="5"/>
        <v>1119.889892</v>
      </c>
      <c r="I31" s="363">
        <v>0.0</v>
      </c>
      <c r="J31" s="364">
        <f t="shared" ref="J31:K31" si="18">J30+B31+D31+F31+H31</f>
        <v>80880.93663</v>
      </c>
      <c r="K31" s="364">
        <f t="shared" si="18"/>
        <v>0</v>
      </c>
      <c r="L31" s="365">
        <f t="shared" si="7"/>
        <v>80880.93663</v>
      </c>
    </row>
    <row r="32" ht="12.75" customHeight="1">
      <c r="A32" s="36" t="s">
        <v>163</v>
      </c>
      <c r="B32" s="362">
        <f t="shared" si="2"/>
        <v>746.5932612</v>
      </c>
      <c r="C32" s="363">
        <v>0.0</v>
      </c>
      <c r="D32" s="364">
        <f t="shared" si="3"/>
        <v>3981.830726</v>
      </c>
      <c r="E32" s="363">
        <v>0.0</v>
      </c>
      <c r="F32" s="364">
        <f t="shared" si="4"/>
        <v>373.2966306</v>
      </c>
      <c r="G32" s="363">
        <v>0.0</v>
      </c>
      <c r="H32" s="364">
        <f t="shared" si="5"/>
        <v>1119.889892</v>
      </c>
      <c r="I32" s="363">
        <v>0.0</v>
      </c>
      <c r="J32" s="364">
        <f t="shared" ref="J32:K32" si="19">J31+B32+D32+F32+H32</f>
        <v>87102.54714</v>
      </c>
      <c r="K32" s="364">
        <f t="shared" si="19"/>
        <v>0</v>
      </c>
      <c r="L32" s="365">
        <f t="shared" si="7"/>
        <v>87102.54714</v>
      </c>
    </row>
    <row r="33" ht="12.75" customHeight="1">
      <c r="A33" s="36" t="s">
        <v>164</v>
      </c>
      <c r="B33" s="362">
        <f t="shared" si="2"/>
        <v>746.5932612</v>
      </c>
      <c r="C33" s="363">
        <v>0.0</v>
      </c>
      <c r="D33" s="364">
        <f t="shared" si="3"/>
        <v>3981.830726</v>
      </c>
      <c r="E33" s="363">
        <v>0.0</v>
      </c>
      <c r="F33" s="364">
        <f t="shared" si="4"/>
        <v>373.2966306</v>
      </c>
      <c r="G33" s="363">
        <v>0.0</v>
      </c>
      <c r="H33" s="364">
        <f t="shared" si="5"/>
        <v>1119.889892</v>
      </c>
      <c r="I33" s="363">
        <v>0.0</v>
      </c>
      <c r="J33" s="364">
        <f t="shared" ref="J33:K33" si="20">J32+B33+D33+F33+H33</f>
        <v>93324.15765</v>
      </c>
      <c r="K33" s="364">
        <f t="shared" si="20"/>
        <v>0</v>
      </c>
      <c r="L33" s="365">
        <f t="shared" si="7"/>
        <v>93324.15765</v>
      </c>
    </row>
    <row r="34" ht="12.75" customHeight="1">
      <c r="A34" s="36" t="s">
        <v>165</v>
      </c>
      <c r="B34" s="362">
        <f t="shared" si="2"/>
        <v>746.5932612</v>
      </c>
      <c r="C34" s="363">
        <v>0.0</v>
      </c>
      <c r="D34" s="364">
        <f t="shared" si="3"/>
        <v>3981.830726</v>
      </c>
      <c r="E34" s="363">
        <v>0.0</v>
      </c>
      <c r="F34" s="364">
        <f t="shared" si="4"/>
        <v>373.2966306</v>
      </c>
      <c r="G34" s="363">
        <v>0.0</v>
      </c>
      <c r="H34" s="364">
        <f t="shared" si="5"/>
        <v>1119.889892</v>
      </c>
      <c r="I34" s="363">
        <v>0.0</v>
      </c>
      <c r="J34" s="364">
        <f t="shared" ref="J34:K34" si="21">J33+B34+D34+F34+H34</f>
        <v>99545.76816</v>
      </c>
      <c r="K34" s="364">
        <f t="shared" si="21"/>
        <v>0</v>
      </c>
      <c r="L34" s="365">
        <f t="shared" si="7"/>
        <v>99545.76816</v>
      </c>
    </row>
    <row r="35" ht="12.75" customHeight="1">
      <c r="A35" s="36" t="s">
        <v>166</v>
      </c>
      <c r="B35" s="362">
        <f t="shared" si="2"/>
        <v>746.5932612</v>
      </c>
      <c r="C35" s="363">
        <v>0.0</v>
      </c>
      <c r="D35" s="364">
        <f t="shared" si="3"/>
        <v>3981.830726</v>
      </c>
      <c r="E35" s="363">
        <v>0.0</v>
      </c>
      <c r="F35" s="364">
        <f t="shared" si="4"/>
        <v>373.2966306</v>
      </c>
      <c r="G35" s="363">
        <v>0.0</v>
      </c>
      <c r="H35" s="364">
        <f t="shared" si="5"/>
        <v>1119.889892</v>
      </c>
      <c r="I35" s="363">
        <v>0.0</v>
      </c>
      <c r="J35" s="364">
        <f t="shared" ref="J35:K35" si="22">J34+B35+D35+F35+H35</f>
        <v>105767.3787</v>
      </c>
      <c r="K35" s="364">
        <f t="shared" si="22"/>
        <v>0</v>
      </c>
      <c r="L35" s="365">
        <f t="shared" si="7"/>
        <v>105767.3787</v>
      </c>
    </row>
    <row r="36" ht="12.75" customHeight="1">
      <c r="A36" s="36" t="s">
        <v>167</v>
      </c>
      <c r="B36" s="362">
        <f t="shared" si="2"/>
        <v>746.5932612</v>
      </c>
      <c r="C36" s="363">
        <v>0.0</v>
      </c>
      <c r="D36" s="364">
        <f t="shared" si="3"/>
        <v>3981.830726</v>
      </c>
      <c r="E36" s="363">
        <v>0.0</v>
      </c>
      <c r="F36" s="364">
        <f t="shared" si="4"/>
        <v>373.2966306</v>
      </c>
      <c r="G36" s="363">
        <v>0.0</v>
      </c>
      <c r="H36" s="364">
        <f t="shared" si="5"/>
        <v>1119.889892</v>
      </c>
      <c r="I36" s="363">
        <v>0.0</v>
      </c>
      <c r="J36" s="364">
        <f t="shared" ref="J36:K36" si="23">J35+B36+D36+F36+H36</f>
        <v>111988.9892</v>
      </c>
      <c r="K36" s="364">
        <f t="shared" si="23"/>
        <v>0</v>
      </c>
      <c r="L36" s="365">
        <f t="shared" si="7"/>
        <v>111988.9892</v>
      </c>
    </row>
    <row r="37" ht="12.75" customHeight="1">
      <c r="A37" s="36" t="s">
        <v>168</v>
      </c>
      <c r="B37" s="362">
        <f t="shared" si="2"/>
        <v>746.5932612</v>
      </c>
      <c r="C37" s="363">
        <v>0.0</v>
      </c>
      <c r="D37" s="364">
        <f t="shared" si="3"/>
        <v>3981.830726</v>
      </c>
      <c r="E37" s="363">
        <v>0.0</v>
      </c>
      <c r="F37" s="364">
        <f t="shared" si="4"/>
        <v>373.2966306</v>
      </c>
      <c r="G37" s="363">
        <v>0.0</v>
      </c>
      <c r="H37" s="364">
        <f t="shared" si="5"/>
        <v>1119.889892</v>
      </c>
      <c r="I37" s="363">
        <v>0.0</v>
      </c>
      <c r="J37" s="364">
        <f t="shared" ref="J37:K37" si="24">J36+B37+D37+F37+H37</f>
        <v>118210.5997</v>
      </c>
      <c r="K37" s="364">
        <f t="shared" si="24"/>
        <v>0</v>
      </c>
      <c r="L37" s="365">
        <f t="shared" si="7"/>
        <v>118210.5997</v>
      </c>
    </row>
    <row r="38" ht="12.75" customHeight="1">
      <c r="A38" s="36" t="s">
        <v>169</v>
      </c>
      <c r="B38" s="362">
        <f t="shared" si="2"/>
        <v>746.5932612</v>
      </c>
      <c r="C38" s="363">
        <v>0.0</v>
      </c>
      <c r="D38" s="364">
        <f t="shared" si="3"/>
        <v>3981.830726</v>
      </c>
      <c r="E38" s="363">
        <v>0.0</v>
      </c>
      <c r="F38" s="364">
        <f t="shared" si="4"/>
        <v>373.2966306</v>
      </c>
      <c r="G38" s="363">
        <v>0.0</v>
      </c>
      <c r="H38" s="364">
        <f t="shared" si="5"/>
        <v>1119.889892</v>
      </c>
      <c r="I38" s="363">
        <v>0.0</v>
      </c>
      <c r="J38" s="364">
        <f t="shared" ref="J38:K38" si="25">J37+B38+D38+F38+H38</f>
        <v>124432.2102</v>
      </c>
      <c r="K38" s="364">
        <f t="shared" si="25"/>
        <v>0</v>
      </c>
      <c r="L38" s="365">
        <f t="shared" si="7"/>
        <v>124432.2102</v>
      </c>
    </row>
    <row r="39" ht="12.75" customHeight="1">
      <c r="A39" s="36" t="s">
        <v>170</v>
      </c>
      <c r="B39" s="362">
        <f t="shared" si="2"/>
        <v>746.5932612</v>
      </c>
      <c r="C39" s="363">
        <v>0.0</v>
      </c>
      <c r="D39" s="364">
        <f t="shared" si="3"/>
        <v>3981.830726</v>
      </c>
      <c r="E39" s="363">
        <v>0.0</v>
      </c>
      <c r="F39" s="364">
        <f t="shared" si="4"/>
        <v>373.2966306</v>
      </c>
      <c r="G39" s="363">
        <v>0.0</v>
      </c>
      <c r="H39" s="364">
        <f t="shared" si="5"/>
        <v>1119.889892</v>
      </c>
      <c r="I39" s="363">
        <v>0.0</v>
      </c>
      <c r="J39" s="364">
        <f t="shared" ref="J39:K39" si="26">J38+B39+D39+F39+H39</f>
        <v>130653.8207</v>
      </c>
      <c r="K39" s="364">
        <f t="shared" si="26"/>
        <v>0</v>
      </c>
      <c r="L39" s="365">
        <f t="shared" si="7"/>
        <v>130653.8207</v>
      </c>
    </row>
    <row r="40" ht="12.75" customHeight="1">
      <c r="A40" s="36" t="s">
        <v>171</v>
      </c>
      <c r="B40" s="362">
        <f t="shared" si="2"/>
        <v>746.5932612</v>
      </c>
      <c r="C40" s="363">
        <v>0.0</v>
      </c>
      <c r="D40" s="364">
        <f t="shared" si="3"/>
        <v>3981.830726</v>
      </c>
      <c r="E40" s="363">
        <v>0.0</v>
      </c>
      <c r="F40" s="364">
        <f t="shared" si="4"/>
        <v>373.2966306</v>
      </c>
      <c r="G40" s="363">
        <v>0.0</v>
      </c>
      <c r="H40" s="364">
        <f t="shared" si="5"/>
        <v>1119.889892</v>
      </c>
      <c r="I40" s="363">
        <v>0.0</v>
      </c>
      <c r="J40" s="364">
        <f t="shared" ref="J40:K40" si="27">J39+B40+D40+F40+H40</f>
        <v>136875.4312</v>
      </c>
      <c r="K40" s="364">
        <f t="shared" si="27"/>
        <v>0</v>
      </c>
      <c r="L40" s="365">
        <f t="shared" si="7"/>
        <v>136875.4312</v>
      </c>
    </row>
    <row r="41" ht="12.75" customHeight="1">
      <c r="A41" s="36" t="s">
        <v>172</v>
      </c>
      <c r="B41" s="362">
        <f t="shared" si="2"/>
        <v>746.5932612</v>
      </c>
      <c r="C41" s="363">
        <v>0.0</v>
      </c>
      <c r="D41" s="364">
        <f t="shared" si="3"/>
        <v>3981.830726</v>
      </c>
      <c r="E41" s="363">
        <v>0.0</v>
      </c>
      <c r="F41" s="364">
        <f t="shared" si="4"/>
        <v>373.2966306</v>
      </c>
      <c r="G41" s="363">
        <v>0.0</v>
      </c>
      <c r="H41" s="364">
        <f t="shared" si="5"/>
        <v>1119.889892</v>
      </c>
      <c r="I41" s="363">
        <v>0.0</v>
      </c>
      <c r="J41" s="364">
        <f t="shared" ref="J41:K41" si="28">J40+B41+D41+F41+H41</f>
        <v>143097.0417</v>
      </c>
      <c r="K41" s="364">
        <f t="shared" si="28"/>
        <v>0</v>
      </c>
      <c r="L41" s="365">
        <f t="shared" si="7"/>
        <v>143097.0417</v>
      </c>
    </row>
    <row r="42" ht="12.75" customHeight="1">
      <c r="A42" s="36" t="s">
        <v>173</v>
      </c>
      <c r="B42" s="362">
        <f t="shared" si="2"/>
        <v>746.5932612</v>
      </c>
      <c r="C42" s="363">
        <v>0.0</v>
      </c>
      <c r="D42" s="364">
        <f t="shared" si="3"/>
        <v>3981.830726</v>
      </c>
      <c r="E42" s="363">
        <v>0.0</v>
      </c>
      <c r="F42" s="364">
        <f t="shared" si="4"/>
        <v>373.2966306</v>
      </c>
      <c r="G42" s="363">
        <v>0.0</v>
      </c>
      <c r="H42" s="364">
        <f t="shared" si="5"/>
        <v>1119.889892</v>
      </c>
      <c r="I42" s="363">
        <v>0.0</v>
      </c>
      <c r="J42" s="364">
        <f t="shared" ref="J42:K42" si="29">J41+B42+D42+F42+H42</f>
        <v>149318.6522</v>
      </c>
      <c r="K42" s="364">
        <f t="shared" si="29"/>
        <v>0</v>
      </c>
      <c r="L42" s="365">
        <f t="shared" si="7"/>
        <v>149318.6522</v>
      </c>
    </row>
    <row r="43" ht="12.75" customHeight="1">
      <c r="A43" s="36" t="s">
        <v>174</v>
      </c>
      <c r="B43" s="362">
        <f t="shared" si="2"/>
        <v>746.5932612</v>
      </c>
      <c r="C43" s="363">
        <v>0.0</v>
      </c>
      <c r="D43" s="364">
        <f t="shared" si="3"/>
        <v>3981.830726</v>
      </c>
      <c r="E43" s="363">
        <v>0.0</v>
      </c>
      <c r="F43" s="364">
        <f t="shared" si="4"/>
        <v>373.2966306</v>
      </c>
      <c r="G43" s="363">
        <v>0.0</v>
      </c>
      <c r="H43" s="364">
        <f t="shared" si="5"/>
        <v>1119.889892</v>
      </c>
      <c r="I43" s="363">
        <v>0.0</v>
      </c>
      <c r="J43" s="364">
        <f t="shared" ref="J43:K43" si="30">J42+B43+D43+F43+H43</f>
        <v>155540.2627</v>
      </c>
      <c r="K43" s="364">
        <f t="shared" si="30"/>
        <v>0</v>
      </c>
      <c r="L43" s="365">
        <f t="shared" si="7"/>
        <v>155540.2627</v>
      </c>
    </row>
    <row r="44" ht="12.75" customHeight="1">
      <c r="A44" s="36" t="s">
        <v>175</v>
      </c>
      <c r="B44" s="362">
        <f t="shared" si="2"/>
        <v>746.5932612</v>
      </c>
      <c r="C44" s="363">
        <v>0.0</v>
      </c>
      <c r="D44" s="364">
        <f t="shared" si="3"/>
        <v>3981.830726</v>
      </c>
      <c r="E44" s="363">
        <v>0.0</v>
      </c>
      <c r="F44" s="364">
        <f t="shared" si="4"/>
        <v>373.2966306</v>
      </c>
      <c r="G44" s="363">
        <v>0.0</v>
      </c>
      <c r="H44" s="364">
        <f t="shared" si="5"/>
        <v>1119.889892</v>
      </c>
      <c r="I44" s="363">
        <v>0.0</v>
      </c>
      <c r="J44" s="364">
        <f t="shared" ref="J44:K44" si="31">J43+B44+D44+F44+H44</f>
        <v>161761.8733</v>
      </c>
      <c r="K44" s="364">
        <f t="shared" si="31"/>
        <v>0</v>
      </c>
      <c r="L44" s="365">
        <f t="shared" si="7"/>
        <v>161761.8733</v>
      </c>
    </row>
    <row r="45" ht="12.75" customHeight="1">
      <c r="A45" s="36" t="s">
        <v>176</v>
      </c>
      <c r="B45" s="367">
        <f t="shared" si="2"/>
        <v>746.5932612</v>
      </c>
      <c r="C45" s="368">
        <v>0.0</v>
      </c>
      <c r="D45" s="369">
        <f t="shared" si="3"/>
        <v>3981.830726</v>
      </c>
      <c r="E45" s="368">
        <v>0.0</v>
      </c>
      <c r="F45" s="369">
        <f t="shared" si="4"/>
        <v>373.2966306</v>
      </c>
      <c r="G45" s="368">
        <v>0.0</v>
      </c>
      <c r="H45" s="369">
        <f t="shared" si="5"/>
        <v>1119.889892</v>
      </c>
      <c r="I45" s="368">
        <v>0.0</v>
      </c>
      <c r="J45" s="369">
        <f t="shared" ref="J45:K45" si="32">J44+B45+D45+F45+H45</f>
        <v>167983.4838</v>
      </c>
      <c r="K45" s="369">
        <f t="shared" si="32"/>
        <v>0</v>
      </c>
      <c r="L45" s="370">
        <f t="shared" si="7"/>
        <v>167983.4838</v>
      </c>
    </row>
    <row r="46" ht="12.75" customHeight="1"/>
    <row r="47" ht="12.75" customHeight="1"/>
    <row r="48" ht="12.75" customHeight="1">
      <c r="A48" s="371" t="s">
        <v>177</v>
      </c>
      <c r="B48" s="108"/>
      <c r="C48" s="372" t="s">
        <v>178</v>
      </c>
      <c r="D48" s="373" t="s">
        <v>179</v>
      </c>
      <c r="E48" s="373" t="s">
        <v>180</v>
      </c>
      <c r="F48" s="374" t="s">
        <v>181</v>
      </c>
    </row>
    <row r="49" ht="14.25" customHeight="1">
      <c r="A49" s="375"/>
      <c r="B49" s="376"/>
      <c r="C49" s="377"/>
      <c r="D49" s="377"/>
      <c r="E49" s="377"/>
      <c r="F49" s="378"/>
    </row>
    <row r="50" ht="14.25" customHeight="1">
      <c r="A50" s="379"/>
      <c r="B50" s="380"/>
      <c r="C50" s="381"/>
      <c r="D50" s="381"/>
      <c r="E50" s="381"/>
      <c r="F50" s="382"/>
    </row>
    <row r="51" ht="14.25" customHeight="1">
      <c r="A51" s="379"/>
      <c r="B51" s="380"/>
      <c r="C51" s="381"/>
      <c r="D51" s="381"/>
      <c r="E51" s="381"/>
      <c r="F51" s="382"/>
    </row>
    <row r="52" ht="14.25" customHeight="1">
      <c r="A52" s="379"/>
      <c r="B52" s="380"/>
      <c r="C52" s="381"/>
      <c r="D52" s="381"/>
      <c r="E52" s="381"/>
      <c r="F52" s="382"/>
    </row>
    <row r="53" ht="14.25" customHeight="1">
      <c r="A53" s="379"/>
      <c r="B53" s="380"/>
      <c r="C53" s="381"/>
      <c r="D53" s="381"/>
      <c r="E53" s="381"/>
      <c r="F53" s="382"/>
    </row>
    <row r="54" ht="14.25" customHeight="1">
      <c r="A54" s="379"/>
      <c r="B54" s="380"/>
      <c r="C54" s="381"/>
      <c r="D54" s="381"/>
      <c r="E54" s="381"/>
      <c r="F54" s="382"/>
    </row>
    <row r="55" ht="14.25" customHeight="1">
      <c r="A55" s="379"/>
      <c r="B55" s="380"/>
      <c r="C55" s="381"/>
      <c r="D55" s="381"/>
      <c r="E55" s="381"/>
      <c r="F55" s="382"/>
    </row>
    <row r="56" ht="14.25" customHeight="1">
      <c r="A56" s="379"/>
      <c r="B56" s="380"/>
      <c r="C56" s="381"/>
      <c r="D56" s="381"/>
      <c r="E56" s="381"/>
      <c r="F56" s="382"/>
    </row>
    <row r="57" ht="14.25" customHeight="1">
      <c r="A57" s="379"/>
      <c r="B57" s="380"/>
      <c r="C57" s="381"/>
      <c r="D57" s="381"/>
      <c r="E57" s="381"/>
      <c r="F57" s="382"/>
    </row>
    <row r="58" ht="14.25" customHeight="1">
      <c r="A58" s="379"/>
      <c r="B58" s="380"/>
      <c r="C58" s="381"/>
      <c r="D58" s="381"/>
      <c r="E58" s="381"/>
      <c r="F58" s="382"/>
    </row>
    <row r="59" ht="14.25" customHeight="1">
      <c r="A59" s="379"/>
      <c r="B59" s="380"/>
      <c r="C59" s="381"/>
      <c r="D59" s="381"/>
      <c r="E59" s="381"/>
      <c r="F59" s="382"/>
    </row>
    <row r="60" ht="14.25" customHeight="1">
      <c r="A60" s="379"/>
      <c r="B60" s="380"/>
      <c r="C60" s="381"/>
      <c r="D60" s="381"/>
      <c r="E60" s="381"/>
      <c r="F60" s="382"/>
    </row>
    <row r="61" ht="14.25" customHeight="1">
      <c r="A61" s="379"/>
      <c r="B61" s="380"/>
      <c r="C61" s="381"/>
      <c r="D61" s="381"/>
      <c r="E61" s="381"/>
      <c r="F61" s="382"/>
    </row>
    <row r="62" ht="14.25" customHeight="1">
      <c r="A62" s="379"/>
      <c r="B62" s="380"/>
      <c r="C62" s="381"/>
      <c r="D62" s="381"/>
      <c r="E62" s="381"/>
      <c r="F62" s="382"/>
    </row>
    <row r="63" ht="14.25" customHeight="1">
      <c r="A63" s="379"/>
      <c r="B63" s="380"/>
      <c r="C63" s="381"/>
      <c r="D63" s="381"/>
      <c r="E63" s="381"/>
      <c r="F63" s="382"/>
    </row>
    <row r="64" ht="14.25" customHeight="1">
      <c r="A64" s="379"/>
      <c r="B64" s="380"/>
      <c r="C64" s="381"/>
      <c r="D64" s="381"/>
      <c r="E64" s="381"/>
      <c r="F64" s="382"/>
    </row>
    <row r="65" ht="14.25" customHeight="1">
      <c r="A65" s="379"/>
      <c r="B65" s="380"/>
      <c r="C65" s="381"/>
      <c r="D65" s="381"/>
      <c r="E65" s="381"/>
      <c r="F65" s="382"/>
    </row>
    <row r="66" ht="14.25" customHeight="1">
      <c r="A66" s="379"/>
      <c r="B66" s="380"/>
      <c r="C66" s="381"/>
      <c r="D66" s="381"/>
      <c r="E66" s="381"/>
      <c r="F66" s="382"/>
    </row>
    <row r="67" ht="14.25" customHeight="1">
      <c r="A67" s="379"/>
      <c r="B67" s="380"/>
      <c r="C67" s="381"/>
      <c r="D67" s="381"/>
      <c r="E67" s="381"/>
      <c r="F67" s="382"/>
    </row>
    <row r="68" ht="14.25" customHeight="1">
      <c r="A68" s="379"/>
      <c r="B68" s="380"/>
      <c r="C68" s="381"/>
      <c r="D68" s="381"/>
      <c r="E68" s="381"/>
      <c r="F68" s="382"/>
    </row>
    <row r="69" ht="12.75" customHeight="1">
      <c r="A69" s="383"/>
      <c r="B69" s="384"/>
      <c r="C69" s="385"/>
      <c r="D69" s="385"/>
      <c r="E69" s="385"/>
      <c r="F69" s="386"/>
    </row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3">
    <mergeCell ref="J1:M1"/>
    <mergeCell ref="D2:E2"/>
    <mergeCell ref="D3:E3"/>
    <mergeCell ref="D4:E4"/>
    <mergeCell ref="D6:E6"/>
    <mergeCell ref="D7:E7"/>
    <mergeCell ref="D8:E8"/>
    <mergeCell ref="D10:E10"/>
    <mergeCell ref="D11:E11"/>
    <mergeCell ref="D12:E12"/>
    <mergeCell ref="D14:E14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65:B65"/>
    <mergeCell ref="A66:B66"/>
    <mergeCell ref="A67:B67"/>
    <mergeCell ref="A68:B68"/>
    <mergeCell ref="A69:B69"/>
    <mergeCell ref="A58:B58"/>
    <mergeCell ref="A59:B59"/>
    <mergeCell ref="A60:B60"/>
    <mergeCell ref="A61:B61"/>
    <mergeCell ref="A62:B62"/>
    <mergeCell ref="A63:B63"/>
    <mergeCell ref="A64:B64"/>
  </mergeCells>
  <conditionalFormatting sqref="K19:K45">
    <cfRule type="cellIs" dxfId="1" priority="1" operator="greaterThan">
      <formula>$B$3</formula>
    </cfRule>
  </conditionalFormatting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8.38"/>
    <col customWidth="1" min="3" max="3" width="9.63"/>
    <col customWidth="1" min="4" max="14" width="8.63"/>
    <col customWidth="1" min="15" max="15" width="11.0"/>
    <col customWidth="1" min="16" max="26" width="8.63"/>
  </cols>
  <sheetData>
    <row r="1" ht="12.75" customHeight="1"/>
    <row r="2" ht="45.75" customHeight="1">
      <c r="B2" s="401" t="s">
        <v>199</v>
      </c>
      <c r="K2" s="402"/>
    </row>
    <row r="3" ht="12.75" customHeight="1">
      <c r="B3" s="403">
        <f>'Sales Goals'!I20</f>
        <v>2194769.565</v>
      </c>
      <c r="C3" s="404" t="s">
        <v>200</v>
      </c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08"/>
      <c r="R3" s="405"/>
      <c r="S3" s="405"/>
      <c r="T3" s="405"/>
    </row>
    <row r="4" ht="12.75" customHeight="1">
      <c r="B4" s="406"/>
      <c r="C4" s="407"/>
      <c r="D4" s="407"/>
      <c r="E4" s="407"/>
      <c r="F4" s="407"/>
      <c r="G4" s="407"/>
      <c r="H4" s="407"/>
      <c r="I4" s="407"/>
      <c r="J4" s="407"/>
      <c r="K4" s="407"/>
      <c r="L4" s="407"/>
      <c r="M4" s="407"/>
      <c r="N4" s="407"/>
      <c r="O4" s="377"/>
      <c r="P4" s="408" t="s">
        <v>201</v>
      </c>
      <c r="Q4" s="136"/>
    </row>
    <row r="5" ht="12.75" customHeight="1">
      <c r="B5" s="409" t="s">
        <v>202</v>
      </c>
      <c r="C5" s="410">
        <v>36892.0</v>
      </c>
      <c r="D5" s="410">
        <v>45323.0</v>
      </c>
      <c r="E5" s="410">
        <v>45352.0</v>
      </c>
      <c r="F5" s="410">
        <v>45383.0</v>
      </c>
      <c r="G5" s="410">
        <v>45413.0</v>
      </c>
      <c r="H5" s="410">
        <v>45444.0</v>
      </c>
      <c r="I5" s="410">
        <v>45474.0</v>
      </c>
      <c r="J5" s="410">
        <v>45505.0</v>
      </c>
      <c r="K5" s="410">
        <v>45536.0</v>
      </c>
      <c r="L5" s="410">
        <v>45566.0</v>
      </c>
      <c r="M5" s="410">
        <v>45597.0</v>
      </c>
      <c r="N5" s="410">
        <v>45627.0</v>
      </c>
      <c r="O5" s="381"/>
      <c r="P5" s="411"/>
      <c r="Q5" s="129"/>
    </row>
    <row r="6" ht="5.25" customHeight="1">
      <c r="B6" s="409"/>
      <c r="C6" s="412"/>
      <c r="D6" s="412"/>
      <c r="E6" s="413"/>
      <c r="F6" s="413"/>
      <c r="G6" s="412"/>
      <c r="H6" s="412"/>
      <c r="I6" s="412"/>
      <c r="J6" s="412"/>
      <c r="K6" s="412"/>
      <c r="L6" s="412"/>
      <c r="M6" s="412"/>
      <c r="N6" s="412"/>
      <c r="O6" s="381"/>
      <c r="P6" s="414"/>
      <c r="Q6" s="285"/>
    </row>
    <row r="7" ht="12.75" customHeight="1">
      <c r="B7" s="409" t="s">
        <v>115</v>
      </c>
      <c r="C7" s="415">
        <f>'Sales Goals'!I8</f>
        <v>135689.9502</v>
      </c>
      <c r="D7" s="415">
        <f>'Sales Goals'!I9</f>
        <v>125926.8911</v>
      </c>
      <c r="E7" s="415">
        <f>'Sales Goals'!I10</f>
        <v>96864.88628</v>
      </c>
      <c r="F7" s="415">
        <f>'Sales Goals'!I11</f>
        <v>188673.1868</v>
      </c>
      <c r="G7" s="415">
        <f>'Sales Goals'!I12</f>
        <v>193952.4904</v>
      </c>
      <c r="H7" s="415">
        <f>'Sales Goals'!I13</f>
        <v>211612.233</v>
      </c>
      <c r="I7" s="415">
        <f>'Sales Goals'!I14</f>
        <v>267666.3031</v>
      </c>
      <c r="J7" s="415">
        <f>'Sales Goals'!I15</f>
        <v>324720.3764</v>
      </c>
      <c r="K7" s="415">
        <f>'Sales Goals'!I16</f>
        <v>190533.7716</v>
      </c>
      <c r="L7" s="415">
        <f>'Sales Goals'!I17</f>
        <v>168845.0634</v>
      </c>
      <c r="M7" s="415">
        <f>'Sales Goals'!I18</f>
        <v>152520.1802</v>
      </c>
      <c r="N7" s="415">
        <f>'Sales Goals'!I19</f>
        <v>137764.2327</v>
      </c>
      <c r="O7" s="381"/>
      <c r="P7" s="416">
        <f>C7+D7+E7+F7+G7+H7+I7+J7+K7+L7+M7+N7</f>
        <v>2194769.565</v>
      </c>
      <c r="Q7" s="285"/>
    </row>
    <row r="8" ht="5.25" customHeight="1">
      <c r="B8" s="409"/>
      <c r="C8" s="417"/>
      <c r="D8" s="417"/>
      <c r="E8" s="417"/>
      <c r="F8" s="417"/>
      <c r="G8" s="417"/>
      <c r="H8" s="417"/>
      <c r="I8" s="417"/>
      <c r="J8" s="418"/>
      <c r="K8" s="418"/>
      <c r="L8" s="418"/>
      <c r="M8" s="418"/>
      <c r="N8" s="418"/>
      <c r="O8" s="381"/>
      <c r="P8" s="419"/>
      <c r="Q8" s="285"/>
    </row>
    <row r="9" ht="12.75" hidden="1" customHeight="1">
      <c r="B9" s="420" t="s">
        <v>203</v>
      </c>
      <c r="C9" s="417"/>
      <c r="D9" s="417"/>
      <c r="E9" s="417"/>
      <c r="F9" s="417"/>
      <c r="G9" s="417"/>
      <c r="H9" s="417"/>
      <c r="I9" s="417"/>
      <c r="J9" s="418"/>
      <c r="K9" s="418"/>
      <c r="L9" s="418"/>
      <c r="M9" s="418"/>
      <c r="N9" s="418"/>
      <c r="O9" s="381"/>
      <c r="P9" s="421"/>
      <c r="Q9" s="422"/>
    </row>
    <row r="10" ht="12.75" hidden="1" customHeight="1">
      <c r="B10" s="420" t="s">
        <v>204</v>
      </c>
      <c r="C10" s="417"/>
      <c r="D10" s="417"/>
      <c r="E10" s="417"/>
      <c r="F10" s="417"/>
      <c r="G10" s="417"/>
      <c r="H10" s="417"/>
      <c r="I10" s="417"/>
      <c r="J10" s="418"/>
      <c r="K10" s="418"/>
      <c r="L10" s="418"/>
      <c r="M10" s="418"/>
      <c r="N10" s="418"/>
      <c r="O10" s="381"/>
      <c r="P10" s="421"/>
      <c r="Q10" s="422"/>
    </row>
    <row r="11" ht="12.75" hidden="1" customHeight="1">
      <c r="B11" s="420" t="s">
        <v>205</v>
      </c>
      <c r="C11" s="417"/>
      <c r="D11" s="417"/>
      <c r="E11" s="417"/>
      <c r="F11" s="417"/>
      <c r="G11" s="417"/>
      <c r="H11" s="417"/>
      <c r="I11" s="417"/>
      <c r="J11" s="418"/>
      <c r="K11" s="418"/>
      <c r="L11" s="418"/>
      <c r="M11" s="418"/>
      <c r="N11" s="418"/>
      <c r="O11" s="381"/>
      <c r="P11" s="421"/>
      <c r="Q11" s="422"/>
    </row>
    <row r="12" ht="12.75" customHeight="1">
      <c r="B12" s="409" t="s">
        <v>206</v>
      </c>
      <c r="C12" s="423">
        <f t="shared" ref="C12:N12" si="1">C7*(1-C15)</f>
        <v>73272.57309</v>
      </c>
      <c r="D12" s="423">
        <f t="shared" si="1"/>
        <v>68000.52122</v>
      </c>
      <c r="E12" s="423">
        <f t="shared" si="1"/>
        <v>52307.03859</v>
      </c>
      <c r="F12" s="423">
        <f t="shared" si="1"/>
        <v>101883.5209</v>
      </c>
      <c r="G12" s="423">
        <f t="shared" si="1"/>
        <v>104734.3448</v>
      </c>
      <c r="H12" s="423">
        <f t="shared" si="1"/>
        <v>114270.6058</v>
      </c>
      <c r="I12" s="423">
        <f t="shared" si="1"/>
        <v>144539.8037</v>
      </c>
      <c r="J12" s="423">
        <f t="shared" si="1"/>
        <v>175349.0033</v>
      </c>
      <c r="K12" s="423">
        <f t="shared" si="1"/>
        <v>102888.2367</v>
      </c>
      <c r="L12" s="423">
        <f t="shared" si="1"/>
        <v>91176.33424</v>
      </c>
      <c r="M12" s="423">
        <f t="shared" si="1"/>
        <v>82360.89729</v>
      </c>
      <c r="N12" s="423">
        <f t="shared" si="1"/>
        <v>74392.68567</v>
      </c>
      <c r="O12" s="381"/>
      <c r="P12" s="416">
        <f>C12+D12+E12+F12+G12+H12+I12+J12+K12+L12+M12+N12</f>
        <v>1185175.565</v>
      </c>
      <c r="Q12" s="285"/>
    </row>
    <row r="13" ht="6.75" customHeight="1">
      <c r="B13" s="409"/>
      <c r="C13" s="417"/>
      <c r="D13" s="417"/>
      <c r="E13" s="417"/>
      <c r="F13" s="417"/>
      <c r="G13" s="417"/>
      <c r="H13" s="417"/>
      <c r="I13" s="417"/>
      <c r="J13" s="418"/>
      <c r="K13" s="418"/>
      <c r="L13" s="418"/>
      <c r="M13" s="418"/>
      <c r="N13" s="418"/>
      <c r="O13" s="381"/>
      <c r="P13" s="419"/>
      <c r="Q13" s="285"/>
    </row>
    <row r="14" ht="12.75" customHeight="1">
      <c r="B14" s="409" t="s">
        <v>207</v>
      </c>
      <c r="C14" s="423">
        <f t="shared" ref="C14:N14" si="2">C7-C12</f>
        <v>62417.37707</v>
      </c>
      <c r="D14" s="423">
        <f t="shared" si="2"/>
        <v>57926.36993</v>
      </c>
      <c r="E14" s="423">
        <f t="shared" si="2"/>
        <v>44557.84769</v>
      </c>
      <c r="F14" s="423">
        <f t="shared" si="2"/>
        <v>86789.66594</v>
      </c>
      <c r="G14" s="423">
        <f t="shared" si="2"/>
        <v>89218.14558</v>
      </c>
      <c r="H14" s="423">
        <f t="shared" si="2"/>
        <v>97341.62717</v>
      </c>
      <c r="I14" s="423">
        <f t="shared" si="2"/>
        <v>123126.4994</v>
      </c>
      <c r="J14" s="423">
        <f t="shared" si="2"/>
        <v>149371.3731</v>
      </c>
      <c r="K14" s="423">
        <f t="shared" si="2"/>
        <v>87645.53495</v>
      </c>
      <c r="L14" s="423">
        <f t="shared" si="2"/>
        <v>77668.72917</v>
      </c>
      <c r="M14" s="423">
        <f t="shared" si="2"/>
        <v>70159.28288</v>
      </c>
      <c r="N14" s="423">
        <f t="shared" si="2"/>
        <v>63371.54705</v>
      </c>
      <c r="O14" s="381"/>
      <c r="P14" s="416">
        <f>C14+D14+E14+F14+G14+H14+I14+J14+K14+L14+M14+N14</f>
        <v>1009594</v>
      </c>
      <c r="Q14" s="285"/>
      <c r="S14" s="375" t="s">
        <v>208</v>
      </c>
      <c r="T14" s="160"/>
      <c r="U14" s="75"/>
    </row>
    <row r="15" ht="12.75" customHeight="1">
      <c r="B15" s="424" t="s">
        <v>209</v>
      </c>
      <c r="C15" s="425">
        <f>Budget!$E$13</f>
        <v>0.46</v>
      </c>
      <c r="D15" s="425">
        <f>Budget!$E$13</f>
        <v>0.46</v>
      </c>
      <c r="E15" s="425">
        <f>Budget!$E$13</f>
        <v>0.46</v>
      </c>
      <c r="F15" s="425">
        <f>Budget!$E$13</f>
        <v>0.46</v>
      </c>
      <c r="G15" s="425">
        <f>Budget!$E$13</f>
        <v>0.46</v>
      </c>
      <c r="H15" s="425">
        <f>Budget!$E$13</f>
        <v>0.46</v>
      </c>
      <c r="I15" s="425">
        <f>Budget!$E$13</f>
        <v>0.46</v>
      </c>
      <c r="J15" s="425">
        <f>Budget!$E$13</f>
        <v>0.46</v>
      </c>
      <c r="K15" s="425">
        <f>Budget!$E$13</f>
        <v>0.46</v>
      </c>
      <c r="L15" s="425">
        <f>Budget!$E$13</f>
        <v>0.46</v>
      </c>
      <c r="M15" s="425">
        <f>Budget!$E$13</f>
        <v>0.46</v>
      </c>
      <c r="N15" s="425">
        <f>Budget!$E$13</f>
        <v>0.46</v>
      </c>
      <c r="O15" s="381"/>
      <c r="P15" s="426">
        <f>(C15+D15+E15+F15+G15+H15+I15+J15+K15+L15+M15+N15)/12</f>
        <v>0.46</v>
      </c>
      <c r="Q15" s="285"/>
      <c r="S15" s="427">
        <f>Budget!E13</f>
        <v>0.46</v>
      </c>
      <c r="T15" s="164"/>
      <c r="U15" s="81"/>
    </row>
    <row r="16" ht="5.25" customHeight="1">
      <c r="B16" s="409"/>
      <c r="C16" s="428"/>
      <c r="D16" s="429"/>
      <c r="E16" s="429"/>
      <c r="F16" s="429"/>
      <c r="G16" s="429"/>
      <c r="H16" s="429"/>
      <c r="I16" s="429"/>
      <c r="J16" s="430"/>
      <c r="K16" s="430"/>
      <c r="L16" s="430"/>
      <c r="M16" s="430"/>
      <c r="N16" s="430"/>
      <c r="O16" s="381"/>
      <c r="P16" s="419"/>
      <c r="Q16" s="285"/>
    </row>
    <row r="17" ht="12.75" customHeight="1">
      <c r="B17" s="409" t="s">
        <v>210</v>
      </c>
      <c r="C17" s="431">
        <f>Budget!$E$7/12</f>
        <v>54966.16667</v>
      </c>
      <c r="D17" s="431">
        <f>Budget!$E$7/12</f>
        <v>54966.16667</v>
      </c>
      <c r="E17" s="431">
        <f>Budget!$E$7/12</f>
        <v>54966.16667</v>
      </c>
      <c r="F17" s="431">
        <f>Budget!$E$7/12</f>
        <v>54966.16667</v>
      </c>
      <c r="G17" s="431">
        <f>Budget!$E$7/12</f>
        <v>54966.16667</v>
      </c>
      <c r="H17" s="431">
        <f>Budget!$E$7/12</f>
        <v>54966.16667</v>
      </c>
      <c r="I17" s="431">
        <f>Budget!$E$7/12</f>
        <v>54966.16667</v>
      </c>
      <c r="J17" s="431">
        <f>Budget!$E$7/12</f>
        <v>54966.16667</v>
      </c>
      <c r="K17" s="431">
        <f>Budget!$E$7/12</f>
        <v>54966.16667</v>
      </c>
      <c r="L17" s="431">
        <f>Budget!$E$7/12</f>
        <v>54966.16667</v>
      </c>
      <c r="M17" s="431">
        <f>Budget!$E$7/12</f>
        <v>54966.16667</v>
      </c>
      <c r="N17" s="431">
        <f>Budget!$E$7/12</f>
        <v>54966.16667</v>
      </c>
      <c r="O17" s="381"/>
      <c r="P17" s="416">
        <f>C17+D17+E17+F17+G17+H17+I17+J17+K17+L17+M17+N17</f>
        <v>659594</v>
      </c>
      <c r="Q17" s="285"/>
    </row>
    <row r="18" ht="18.0" customHeight="1">
      <c r="B18" s="424" t="s">
        <v>211</v>
      </c>
      <c r="C18" s="432">
        <f t="shared" ref="C18:N18" si="3">C17/C7</f>
        <v>0.4050864976</v>
      </c>
      <c r="D18" s="432">
        <f t="shared" si="3"/>
        <v>0.4364926837</v>
      </c>
      <c r="E18" s="432">
        <f t="shared" si="3"/>
        <v>0.56745193</v>
      </c>
      <c r="F18" s="432">
        <f t="shared" si="3"/>
        <v>0.2913300379</v>
      </c>
      <c r="G18" s="432">
        <f t="shared" si="3"/>
        <v>0.2834001593</v>
      </c>
      <c r="H18" s="432">
        <f t="shared" si="3"/>
        <v>0.2597494762</v>
      </c>
      <c r="I18" s="432">
        <f t="shared" si="3"/>
        <v>0.20535333</v>
      </c>
      <c r="J18" s="432">
        <f t="shared" si="3"/>
        <v>0.1692723052</v>
      </c>
      <c r="K18" s="432">
        <f t="shared" si="3"/>
        <v>0.2884851656</v>
      </c>
      <c r="L18" s="432">
        <f t="shared" si="3"/>
        <v>0.3255420417</v>
      </c>
      <c r="M18" s="432">
        <f t="shared" si="3"/>
        <v>0.3603861903</v>
      </c>
      <c r="N18" s="432">
        <f t="shared" si="3"/>
        <v>0.3989872087</v>
      </c>
      <c r="O18" s="381"/>
      <c r="P18" s="426">
        <f>P17/P7</f>
        <v>0.3005299556</v>
      </c>
      <c r="Q18" s="285"/>
    </row>
    <row r="19" ht="12.75" customHeight="1">
      <c r="B19" s="409" t="s">
        <v>212</v>
      </c>
      <c r="C19" s="433">
        <f t="shared" ref="C19:N19" si="4">C14-C17</f>
        <v>7451.210408</v>
      </c>
      <c r="D19" s="433">
        <f t="shared" si="4"/>
        <v>2960.203259</v>
      </c>
      <c r="E19" s="433">
        <f t="shared" si="4"/>
        <v>-10408.31898</v>
      </c>
      <c r="F19" s="433">
        <f t="shared" si="4"/>
        <v>31823.49927</v>
      </c>
      <c r="G19" s="433">
        <f t="shared" si="4"/>
        <v>34251.97891</v>
      </c>
      <c r="H19" s="433">
        <f t="shared" si="4"/>
        <v>42375.4605</v>
      </c>
      <c r="I19" s="433">
        <f t="shared" si="4"/>
        <v>68160.33278</v>
      </c>
      <c r="J19" s="433">
        <f t="shared" si="4"/>
        <v>94405.20648</v>
      </c>
      <c r="K19" s="433">
        <f t="shared" si="4"/>
        <v>32679.36828</v>
      </c>
      <c r="L19" s="433">
        <f t="shared" si="4"/>
        <v>22702.5625</v>
      </c>
      <c r="M19" s="433">
        <f t="shared" si="4"/>
        <v>15193.11621</v>
      </c>
      <c r="N19" s="433">
        <f t="shared" si="4"/>
        <v>8405.380385</v>
      </c>
      <c r="O19" s="434"/>
      <c r="P19" s="435">
        <f>P14-P17</f>
        <v>350000</v>
      </c>
      <c r="Q19" s="285"/>
    </row>
    <row r="20" ht="12.75" customHeight="1">
      <c r="B20" s="436"/>
      <c r="C20" s="437">
        <f t="shared" ref="C20:N20" si="5">C19/C7</f>
        <v>0.05491350243</v>
      </c>
      <c r="D20" s="437">
        <f t="shared" si="5"/>
        <v>0.02350731629</v>
      </c>
      <c r="E20" s="438">
        <f t="shared" si="5"/>
        <v>-0.10745193</v>
      </c>
      <c r="F20" s="438">
        <f t="shared" si="5"/>
        <v>0.1686699621</v>
      </c>
      <c r="G20" s="438">
        <f t="shared" si="5"/>
        <v>0.1765998407</v>
      </c>
      <c r="H20" s="438">
        <f t="shared" si="5"/>
        <v>0.2002505238</v>
      </c>
      <c r="I20" s="438">
        <f t="shared" si="5"/>
        <v>0.25464667</v>
      </c>
      <c r="J20" s="438">
        <f t="shared" si="5"/>
        <v>0.2907276948</v>
      </c>
      <c r="K20" s="438">
        <f t="shared" si="5"/>
        <v>0.1715148344</v>
      </c>
      <c r="L20" s="438">
        <f t="shared" si="5"/>
        <v>0.1344579583</v>
      </c>
      <c r="M20" s="438">
        <f t="shared" si="5"/>
        <v>0.09961380975</v>
      </c>
      <c r="N20" s="438">
        <f t="shared" si="5"/>
        <v>0.06101279134</v>
      </c>
      <c r="O20" s="439"/>
      <c r="P20" s="440">
        <f>P19/P7</f>
        <v>0.1594700444</v>
      </c>
      <c r="Q20" s="81"/>
    </row>
    <row r="21" ht="12.75" customHeight="1"/>
    <row r="22" ht="12.75" customHeight="1">
      <c r="M22" s="441" t="s">
        <v>213</v>
      </c>
      <c r="N22" s="169"/>
      <c r="O22" s="108"/>
      <c r="P22" s="442">
        <v>0.0</v>
      </c>
      <c r="Q22" s="75"/>
    </row>
    <row r="23" ht="12.75" customHeight="1">
      <c r="M23" s="441" t="s">
        <v>214</v>
      </c>
      <c r="N23" s="169"/>
      <c r="O23" s="108"/>
      <c r="P23" s="416">
        <f>P19-P22</f>
        <v>350000</v>
      </c>
      <c r="Q23" s="285"/>
    </row>
    <row r="24" ht="12.75" customHeight="1">
      <c r="M24" s="441" t="s">
        <v>215</v>
      </c>
      <c r="N24" s="169"/>
      <c r="O24" s="108"/>
      <c r="P24" s="443">
        <f>P23/P7</f>
        <v>0.1594700444</v>
      </c>
      <c r="Q24" s="81"/>
    </row>
    <row r="25" ht="12.75" customHeight="1"/>
    <row r="26" ht="12.75" customHeight="1">
      <c r="B26" s="404" t="s">
        <v>216</v>
      </c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69"/>
      <c r="O26" s="169"/>
      <c r="P26" s="169"/>
      <c r="Q26" s="108"/>
      <c r="R26" s="405"/>
      <c r="S26" s="405"/>
      <c r="T26" s="405"/>
    </row>
    <row r="27" ht="12.75" customHeight="1">
      <c r="B27" s="444"/>
      <c r="C27" s="407"/>
      <c r="D27" s="407"/>
      <c r="E27" s="407"/>
      <c r="F27" s="407"/>
      <c r="G27" s="407"/>
      <c r="H27" s="407"/>
      <c r="I27" s="407"/>
      <c r="J27" s="407"/>
      <c r="K27" s="407"/>
      <c r="L27" s="407"/>
      <c r="M27" s="407"/>
      <c r="N27" s="407"/>
      <c r="O27" s="377"/>
      <c r="P27" s="408" t="s">
        <v>201</v>
      </c>
      <c r="Q27" s="136"/>
    </row>
    <row r="28" ht="12.75" customHeight="1">
      <c r="B28" s="409" t="s">
        <v>202</v>
      </c>
      <c r="C28" s="410">
        <v>36892.0</v>
      </c>
      <c r="D28" s="410">
        <v>45323.0</v>
      </c>
      <c r="E28" s="410">
        <v>45352.0</v>
      </c>
      <c r="F28" s="410">
        <v>45383.0</v>
      </c>
      <c r="G28" s="410">
        <v>45413.0</v>
      </c>
      <c r="H28" s="410">
        <v>45444.0</v>
      </c>
      <c r="I28" s="410">
        <v>45474.0</v>
      </c>
      <c r="J28" s="410">
        <v>45505.0</v>
      </c>
      <c r="K28" s="410">
        <v>45536.0</v>
      </c>
      <c r="L28" s="410">
        <v>45566.0</v>
      </c>
      <c r="M28" s="410">
        <v>45597.0</v>
      </c>
      <c r="N28" s="410">
        <v>45627.0</v>
      </c>
      <c r="O28" s="381"/>
      <c r="P28" s="411"/>
      <c r="Q28" s="129"/>
    </row>
    <row r="29" ht="12.75" customHeight="1">
      <c r="B29" s="409"/>
      <c r="C29" s="412"/>
      <c r="D29" s="412"/>
      <c r="E29" s="413"/>
      <c r="F29" s="413"/>
      <c r="G29" s="412"/>
      <c r="H29" s="412"/>
      <c r="I29" s="412"/>
      <c r="J29" s="412"/>
      <c r="K29" s="412"/>
      <c r="L29" s="412"/>
      <c r="M29" s="412"/>
      <c r="N29" s="412"/>
      <c r="O29" s="381"/>
      <c r="P29" s="414"/>
      <c r="Q29" s="285"/>
    </row>
    <row r="30" ht="12.75" customHeight="1">
      <c r="B30" s="409" t="s">
        <v>115</v>
      </c>
      <c r="C30" s="445"/>
      <c r="D30" s="445"/>
      <c r="E30" s="445"/>
      <c r="F30" s="445"/>
      <c r="G30" s="445"/>
      <c r="H30" s="445"/>
      <c r="I30" s="445"/>
      <c r="J30" s="445"/>
      <c r="K30" s="445"/>
      <c r="L30" s="445"/>
      <c r="M30" s="445"/>
      <c r="N30" s="445"/>
      <c r="O30" s="381"/>
      <c r="P30" s="416">
        <f>C30+D30+E30+F30+G30+H30+I30+J30+K30+L30+M30+N30</f>
        <v>0</v>
      </c>
      <c r="Q30" s="285"/>
    </row>
    <row r="31" ht="12.75" customHeight="1">
      <c r="B31" s="409"/>
      <c r="C31" s="446">
        <f t="shared" ref="C31:N31" si="6">C30-C7</f>
        <v>-135689.9502</v>
      </c>
      <c r="D31" s="446">
        <f t="shared" si="6"/>
        <v>-125926.8911</v>
      </c>
      <c r="E31" s="446">
        <f t="shared" si="6"/>
        <v>-96864.88628</v>
      </c>
      <c r="F31" s="446">
        <f t="shared" si="6"/>
        <v>-188673.1868</v>
      </c>
      <c r="G31" s="446">
        <f t="shared" si="6"/>
        <v>-193952.4904</v>
      </c>
      <c r="H31" s="446">
        <f t="shared" si="6"/>
        <v>-211612.233</v>
      </c>
      <c r="I31" s="446">
        <f t="shared" si="6"/>
        <v>-267666.3031</v>
      </c>
      <c r="J31" s="446">
        <f t="shared" si="6"/>
        <v>-324720.3764</v>
      </c>
      <c r="K31" s="446">
        <f t="shared" si="6"/>
        <v>-190533.7716</v>
      </c>
      <c r="L31" s="446">
        <f t="shared" si="6"/>
        <v>-168845.0634</v>
      </c>
      <c r="M31" s="446">
        <f t="shared" si="6"/>
        <v>-152520.1802</v>
      </c>
      <c r="N31" s="446">
        <f t="shared" si="6"/>
        <v>-137764.2327</v>
      </c>
      <c r="O31" s="381"/>
      <c r="P31" s="419"/>
      <c r="Q31" s="285"/>
    </row>
    <row r="32" ht="12.75" customHeight="1">
      <c r="B32" s="409" t="s">
        <v>206</v>
      </c>
      <c r="C32" s="445"/>
      <c r="D32" s="445"/>
      <c r="E32" s="445"/>
      <c r="F32" s="445"/>
      <c r="G32" s="445"/>
      <c r="H32" s="445"/>
      <c r="I32" s="445"/>
      <c r="J32" s="445"/>
      <c r="K32" s="445"/>
      <c r="L32" s="445"/>
      <c r="M32" s="445"/>
      <c r="N32" s="445"/>
      <c r="O32" s="381"/>
      <c r="P32" s="416">
        <f>C32+D32+E32+F32+G32+H32+I32+J32+K32+L32+M32+N32</f>
        <v>0</v>
      </c>
      <c r="Q32" s="285"/>
    </row>
    <row r="33" ht="12.75" customHeight="1">
      <c r="B33" s="409"/>
      <c r="C33" s="417"/>
      <c r="D33" s="417"/>
      <c r="E33" s="417"/>
      <c r="F33" s="417"/>
      <c r="G33" s="417"/>
      <c r="H33" s="417"/>
      <c r="I33" s="417"/>
      <c r="J33" s="418"/>
      <c r="K33" s="418"/>
      <c r="L33" s="418"/>
      <c r="M33" s="418"/>
      <c r="N33" s="418"/>
      <c r="O33" s="381"/>
      <c r="P33" s="419"/>
      <c r="Q33" s="285"/>
    </row>
    <row r="34" ht="12.75" customHeight="1">
      <c r="B34" s="409" t="s">
        <v>207</v>
      </c>
      <c r="C34" s="447">
        <f t="shared" ref="C34:N34" si="7">C30-C32</f>
        <v>0</v>
      </c>
      <c r="D34" s="447">
        <f t="shared" si="7"/>
        <v>0</v>
      </c>
      <c r="E34" s="447">
        <f t="shared" si="7"/>
        <v>0</v>
      </c>
      <c r="F34" s="447">
        <f t="shared" si="7"/>
        <v>0</v>
      </c>
      <c r="G34" s="447">
        <f t="shared" si="7"/>
        <v>0</v>
      </c>
      <c r="H34" s="447">
        <f t="shared" si="7"/>
        <v>0</v>
      </c>
      <c r="I34" s="447">
        <f t="shared" si="7"/>
        <v>0</v>
      </c>
      <c r="J34" s="447">
        <f t="shared" si="7"/>
        <v>0</v>
      </c>
      <c r="K34" s="447">
        <f t="shared" si="7"/>
        <v>0</v>
      </c>
      <c r="L34" s="447">
        <f t="shared" si="7"/>
        <v>0</v>
      </c>
      <c r="M34" s="447">
        <f t="shared" si="7"/>
        <v>0</v>
      </c>
      <c r="N34" s="447">
        <f t="shared" si="7"/>
        <v>0</v>
      </c>
      <c r="O34" s="381"/>
      <c r="P34" s="416">
        <f>C34+D34+E34+F34+G34+H34+I34+J34+K34+L34+M34+N34</f>
        <v>0</v>
      </c>
      <c r="Q34" s="285"/>
    </row>
    <row r="35" ht="12.75" customHeight="1">
      <c r="B35" s="424" t="s">
        <v>217</v>
      </c>
      <c r="C35" s="432" t="str">
        <f t="shared" ref="C35:N35" si="8">C34/C30</f>
        <v>#DIV/0!</v>
      </c>
      <c r="D35" s="432" t="str">
        <f t="shared" si="8"/>
        <v>#DIV/0!</v>
      </c>
      <c r="E35" s="432" t="str">
        <f t="shared" si="8"/>
        <v>#DIV/0!</v>
      </c>
      <c r="F35" s="432" t="str">
        <f t="shared" si="8"/>
        <v>#DIV/0!</v>
      </c>
      <c r="G35" s="432" t="str">
        <f t="shared" si="8"/>
        <v>#DIV/0!</v>
      </c>
      <c r="H35" s="432" t="str">
        <f t="shared" si="8"/>
        <v>#DIV/0!</v>
      </c>
      <c r="I35" s="432" t="str">
        <f t="shared" si="8"/>
        <v>#DIV/0!</v>
      </c>
      <c r="J35" s="432" t="str">
        <f t="shared" si="8"/>
        <v>#DIV/0!</v>
      </c>
      <c r="K35" s="432" t="str">
        <f t="shared" si="8"/>
        <v>#DIV/0!</v>
      </c>
      <c r="L35" s="432" t="str">
        <f t="shared" si="8"/>
        <v>#DIV/0!</v>
      </c>
      <c r="M35" s="432" t="str">
        <f t="shared" si="8"/>
        <v>#DIV/0!</v>
      </c>
      <c r="N35" s="432" t="str">
        <f t="shared" si="8"/>
        <v>#DIV/0!</v>
      </c>
      <c r="O35" s="381"/>
      <c r="P35" s="426" t="str">
        <f>P34/P30</f>
        <v>#DIV/0!</v>
      </c>
      <c r="Q35" s="285"/>
      <c r="S35" s="448"/>
    </row>
    <row r="36" ht="12.75" customHeight="1">
      <c r="B36" s="409"/>
      <c r="C36" s="428"/>
      <c r="D36" s="429"/>
      <c r="E36" s="429"/>
      <c r="F36" s="429"/>
      <c r="G36" s="429"/>
      <c r="H36" s="429"/>
      <c r="I36" s="429"/>
      <c r="J36" s="430"/>
      <c r="K36" s="430"/>
      <c r="L36" s="430"/>
      <c r="M36" s="430"/>
      <c r="N36" s="430"/>
      <c r="O36" s="381"/>
      <c r="P36" s="419"/>
      <c r="Q36" s="285"/>
    </row>
    <row r="37" ht="12.75" customHeight="1">
      <c r="B37" s="409" t="s">
        <v>210</v>
      </c>
      <c r="C37" s="449"/>
      <c r="D37" s="449"/>
      <c r="E37" s="449"/>
      <c r="F37" s="449"/>
      <c r="G37" s="449"/>
      <c r="H37" s="449"/>
      <c r="I37" s="449"/>
      <c r="J37" s="449"/>
      <c r="K37" s="449"/>
      <c r="L37" s="449"/>
      <c r="M37" s="449"/>
      <c r="N37" s="449"/>
      <c r="O37" s="381"/>
      <c r="P37" s="416">
        <f>C37+D37+E37+F37+G37+H37+I37+J37+K37+L37+M37+N37</f>
        <v>0</v>
      </c>
      <c r="Q37" s="285"/>
    </row>
    <row r="38" ht="12.75" customHeight="1">
      <c r="B38" s="424" t="s">
        <v>211</v>
      </c>
      <c r="C38" s="432" t="str">
        <f t="shared" ref="C38:N38" si="9">C37/C30</f>
        <v>#DIV/0!</v>
      </c>
      <c r="D38" s="432" t="str">
        <f t="shared" si="9"/>
        <v>#DIV/0!</v>
      </c>
      <c r="E38" s="432" t="str">
        <f t="shared" si="9"/>
        <v>#DIV/0!</v>
      </c>
      <c r="F38" s="432" t="str">
        <f t="shared" si="9"/>
        <v>#DIV/0!</v>
      </c>
      <c r="G38" s="432" t="str">
        <f t="shared" si="9"/>
        <v>#DIV/0!</v>
      </c>
      <c r="H38" s="432" t="str">
        <f t="shared" si="9"/>
        <v>#DIV/0!</v>
      </c>
      <c r="I38" s="432" t="str">
        <f t="shared" si="9"/>
        <v>#DIV/0!</v>
      </c>
      <c r="J38" s="432" t="str">
        <f t="shared" si="9"/>
        <v>#DIV/0!</v>
      </c>
      <c r="K38" s="432" t="str">
        <f t="shared" si="9"/>
        <v>#DIV/0!</v>
      </c>
      <c r="L38" s="432" t="str">
        <f t="shared" si="9"/>
        <v>#DIV/0!</v>
      </c>
      <c r="M38" s="432" t="str">
        <f t="shared" si="9"/>
        <v>#DIV/0!</v>
      </c>
      <c r="N38" s="432" t="str">
        <f t="shared" si="9"/>
        <v>#DIV/0!</v>
      </c>
      <c r="O38" s="381"/>
      <c r="P38" s="450" t="str">
        <f>P37/P30</f>
        <v>#DIV/0!</v>
      </c>
      <c r="Q38" s="285"/>
    </row>
    <row r="39" ht="12.75" customHeight="1">
      <c r="B39" s="409" t="s">
        <v>212</v>
      </c>
      <c r="C39" s="447">
        <f t="shared" ref="C39:N39" si="10">C34-C37</f>
        <v>0</v>
      </c>
      <c r="D39" s="447">
        <f t="shared" si="10"/>
        <v>0</v>
      </c>
      <c r="E39" s="447">
        <f t="shared" si="10"/>
        <v>0</v>
      </c>
      <c r="F39" s="447">
        <f t="shared" si="10"/>
        <v>0</v>
      </c>
      <c r="G39" s="447">
        <f t="shared" si="10"/>
        <v>0</v>
      </c>
      <c r="H39" s="447">
        <f t="shared" si="10"/>
        <v>0</v>
      </c>
      <c r="I39" s="447">
        <f t="shared" si="10"/>
        <v>0</v>
      </c>
      <c r="J39" s="447">
        <f t="shared" si="10"/>
        <v>0</v>
      </c>
      <c r="K39" s="447">
        <f t="shared" si="10"/>
        <v>0</v>
      </c>
      <c r="L39" s="447">
        <f t="shared" si="10"/>
        <v>0</v>
      </c>
      <c r="M39" s="447">
        <f t="shared" si="10"/>
        <v>0</v>
      </c>
      <c r="N39" s="447">
        <f t="shared" si="10"/>
        <v>0</v>
      </c>
      <c r="O39" s="434"/>
      <c r="P39" s="435">
        <f>P34-P37</f>
        <v>0</v>
      </c>
      <c r="Q39" s="285"/>
    </row>
    <row r="40" ht="12.75" customHeight="1">
      <c r="B40" s="436"/>
      <c r="C40" s="437" t="str">
        <f t="shared" ref="C40:N40" si="11">C39/C30</f>
        <v>#DIV/0!</v>
      </c>
      <c r="D40" s="437" t="str">
        <f t="shared" si="11"/>
        <v>#DIV/0!</v>
      </c>
      <c r="E40" s="438" t="str">
        <f t="shared" si="11"/>
        <v>#DIV/0!</v>
      </c>
      <c r="F40" s="438" t="str">
        <f t="shared" si="11"/>
        <v>#DIV/0!</v>
      </c>
      <c r="G40" s="438" t="str">
        <f t="shared" si="11"/>
        <v>#DIV/0!</v>
      </c>
      <c r="H40" s="438" t="str">
        <f t="shared" si="11"/>
        <v>#DIV/0!</v>
      </c>
      <c r="I40" s="438" t="str">
        <f t="shared" si="11"/>
        <v>#DIV/0!</v>
      </c>
      <c r="J40" s="438" t="str">
        <f t="shared" si="11"/>
        <v>#DIV/0!</v>
      </c>
      <c r="K40" s="438" t="str">
        <f t="shared" si="11"/>
        <v>#DIV/0!</v>
      </c>
      <c r="L40" s="438" t="str">
        <f t="shared" si="11"/>
        <v>#DIV/0!</v>
      </c>
      <c r="M40" s="438" t="str">
        <f t="shared" si="11"/>
        <v>#DIV/0!</v>
      </c>
      <c r="N40" s="438" t="str">
        <f t="shared" si="11"/>
        <v>#DIV/0!</v>
      </c>
      <c r="O40" s="439"/>
      <c r="P40" s="440" t="str">
        <f>P39/P30</f>
        <v>#DIV/0!</v>
      </c>
      <c r="Q40" s="81"/>
    </row>
    <row r="41" ht="12.75" customHeight="1"/>
    <row r="42" ht="12.75" customHeight="1">
      <c r="M42" s="441" t="s">
        <v>213</v>
      </c>
      <c r="N42" s="169"/>
      <c r="O42" s="108"/>
      <c r="P42" s="451"/>
      <c r="Q42" s="75"/>
    </row>
    <row r="43" ht="12.75" customHeight="1">
      <c r="M43" s="441" t="s">
        <v>214</v>
      </c>
      <c r="N43" s="169"/>
      <c r="O43" s="108"/>
      <c r="P43" s="416">
        <f>P39-P42</f>
        <v>0</v>
      </c>
      <c r="Q43" s="285"/>
    </row>
    <row r="44" ht="12.75" customHeight="1">
      <c r="M44" s="441" t="s">
        <v>215</v>
      </c>
      <c r="N44" s="169"/>
      <c r="O44" s="108"/>
      <c r="P44" s="443" t="str">
        <f>P43/P30</f>
        <v>#DIV/0!</v>
      </c>
      <c r="Q44" s="81"/>
    </row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2">
    <mergeCell ref="C3:Q3"/>
    <mergeCell ref="P4:Q5"/>
    <mergeCell ref="P6:Q6"/>
    <mergeCell ref="P7:Q7"/>
    <mergeCell ref="P8:Q8"/>
    <mergeCell ref="P12:Q12"/>
    <mergeCell ref="P13:Q13"/>
    <mergeCell ref="P14:Q14"/>
    <mergeCell ref="S14:U14"/>
    <mergeCell ref="P15:Q15"/>
    <mergeCell ref="S15:U15"/>
    <mergeCell ref="P16:Q16"/>
    <mergeCell ref="P17:Q17"/>
    <mergeCell ref="P18:Q18"/>
    <mergeCell ref="M24:O24"/>
    <mergeCell ref="B26:Q26"/>
    <mergeCell ref="P19:Q19"/>
    <mergeCell ref="P20:Q20"/>
    <mergeCell ref="M22:O22"/>
    <mergeCell ref="P22:Q22"/>
    <mergeCell ref="M23:O23"/>
    <mergeCell ref="P23:Q23"/>
    <mergeCell ref="P24:Q24"/>
    <mergeCell ref="P27:Q28"/>
    <mergeCell ref="P29:Q29"/>
    <mergeCell ref="P30:Q30"/>
    <mergeCell ref="P31:Q31"/>
    <mergeCell ref="P32:Q32"/>
    <mergeCell ref="P33:Q33"/>
    <mergeCell ref="P34:Q34"/>
    <mergeCell ref="M42:O42"/>
    <mergeCell ref="M43:O43"/>
    <mergeCell ref="M44:O44"/>
    <mergeCell ref="P43:Q43"/>
    <mergeCell ref="P44:Q44"/>
    <mergeCell ref="P35:Q35"/>
    <mergeCell ref="P36:Q36"/>
    <mergeCell ref="P37:Q37"/>
    <mergeCell ref="P38:Q38"/>
    <mergeCell ref="P39:Q39"/>
    <mergeCell ref="P40:Q40"/>
    <mergeCell ref="P42:Q42"/>
  </mergeCells>
  <conditionalFormatting sqref="C31:N31">
    <cfRule type="cellIs" dxfId="0" priority="1" operator="lessThan">
      <formula>0</formula>
    </cfRule>
  </conditionalFormatting>
  <conditionalFormatting sqref="C31:N31">
    <cfRule type="cellIs" dxfId="1" priority="2" operator="greaterThan">
      <formula>0</formula>
    </cfRule>
  </conditionalFormatting>
  <conditionalFormatting sqref="P15:Q15">
    <cfRule type="cellIs" dxfId="0" priority="3" operator="lessThan">
      <formula>$S$15</formula>
    </cfRule>
  </conditionalFormatting>
  <conditionalFormatting sqref="P15:Q15">
    <cfRule type="cellIs" dxfId="1" priority="4" operator="greaterThan">
      <formula>$S$15</formula>
    </cfRule>
  </conditionalFormatting>
  <conditionalFormatting sqref="P35:Q35">
    <cfRule type="cellIs" dxfId="0" priority="5" operator="lessThan">
      <formula>$S$15</formula>
    </cfRule>
  </conditionalFormatting>
  <conditionalFormatting sqref="P35:Q35">
    <cfRule type="cellIs" dxfId="1" priority="6" operator="greaterThan">
      <formula>$S$15</formula>
    </cfRule>
  </conditionalFormatting>
  <printOptions/>
  <pageMargins bottom="0.75" footer="0.0" header="0.0" left="0.7" right="0.7" top="0.75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5.75"/>
    <col customWidth="1" min="3" max="3" width="19.0"/>
    <col customWidth="1" min="4" max="4" width="14.38"/>
    <col customWidth="1" min="5" max="5" width="6.13"/>
    <col customWidth="1" min="6" max="6" width="17.63"/>
    <col customWidth="1" min="7" max="7" width="20.0"/>
    <col customWidth="1" min="8" max="8" width="14.13"/>
    <col customWidth="1" min="9" max="9" width="15.88"/>
    <col customWidth="1" min="10" max="10" width="20.25"/>
    <col customWidth="1" min="11" max="11" width="6.13"/>
    <col customWidth="1" min="12" max="12" width="16.63"/>
    <col customWidth="1" min="13" max="13" width="18.75"/>
    <col customWidth="1" min="14" max="14" width="8.88"/>
    <col customWidth="1" min="15" max="15" width="16.75"/>
    <col customWidth="1" min="16" max="16" width="15.0"/>
    <col customWidth="1" min="17" max="17" width="6.38"/>
    <col customWidth="1" min="18" max="18" width="18.75"/>
    <col customWidth="1" min="19" max="19" width="8.0"/>
    <col customWidth="1" min="20" max="20" width="14.88"/>
    <col customWidth="1" min="21" max="32" width="11.38"/>
  </cols>
  <sheetData>
    <row r="1" ht="12.75" customHeight="1">
      <c r="C1" s="452"/>
      <c r="D1" s="453"/>
      <c r="E1" s="453"/>
      <c r="F1" s="453"/>
      <c r="G1" s="453"/>
      <c r="H1" s="453"/>
      <c r="I1" s="453"/>
      <c r="J1" s="453"/>
      <c r="L1" s="402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</row>
    <row r="2" ht="12.75" customHeight="1">
      <c r="C2" s="454" t="s">
        <v>218</v>
      </c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79"/>
      <c r="T2" s="455"/>
      <c r="U2" s="271" t="s">
        <v>219</v>
      </c>
      <c r="V2" s="169"/>
      <c r="W2" s="169"/>
      <c r="X2" s="169"/>
      <c r="Y2" s="169"/>
      <c r="Z2" s="169"/>
      <c r="AA2" s="169"/>
      <c r="AB2" s="169"/>
      <c r="AC2" s="169"/>
      <c r="AD2" s="169"/>
      <c r="AE2" s="169"/>
      <c r="AF2" s="108"/>
    </row>
    <row r="3" ht="9.0" customHeight="1">
      <c r="C3" s="86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87"/>
      <c r="S3" s="456"/>
      <c r="T3" s="457"/>
      <c r="U3" s="301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02"/>
    </row>
    <row r="4" ht="47.25" customHeight="1">
      <c r="C4" s="458"/>
      <c r="D4" s="459"/>
      <c r="E4" s="158"/>
      <c r="F4" s="158"/>
      <c r="G4" s="158"/>
      <c r="H4" s="158"/>
      <c r="I4" s="460"/>
      <c r="J4" s="79"/>
      <c r="K4" s="158"/>
      <c r="L4" s="461" t="s">
        <v>220</v>
      </c>
      <c r="M4" s="167"/>
      <c r="N4" s="158"/>
      <c r="O4" s="158"/>
      <c r="P4" s="158"/>
      <c r="Q4" s="158"/>
      <c r="R4" s="462" t="s">
        <v>221</v>
      </c>
      <c r="T4" s="274"/>
      <c r="U4" s="275" t="s">
        <v>68</v>
      </c>
      <c r="V4" s="276" t="s">
        <v>69</v>
      </c>
      <c r="W4" s="276" t="s">
        <v>70</v>
      </c>
      <c r="X4" s="276" t="s">
        <v>71</v>
      </c>
      <c r="Y4" s="276" t="s">
        <v>72</v>
      </c>
      <c r="Z4" s="276" t="s">
        <v>73</v>
      </c>
      <c r="AA4" s="276" t="s">
        <v>75</v>
      </c>
      <c r="AB4" s="276" t="s">
        <v>76</v>
      </c>
      <c r="AC4" s="276" t="s">
        <v>77</v>
      </c>
      <c r="AD4" s="276" t="s">
        <v>100</v>
      </c>
      <c r="AE4" s="276" t="s">
        <v>79</v>
      </c>
      <c r="AF4" s="277" t="s">
        <v>81</v>
      </c>
    </row>
    <row r="5" ht="21.0" customHeight="1">
      <c r="C5" s="274"/>
      <c r="D5" s="36"/>
      <c r="I5" s="86"/>
      <c r="J5" s="87"/>
      <c r="L5" s="463">
        <v>2.0</v>
      </c>
      <c r="M5" s="464">
        <v>1.0</v>
      </c>
      <c r="O5" s="465" t="s">
        <v>222</v>
      </c>
      <c r="R5" s="302"/>
      <c r="T5" s="466" t="s">
        <v>115</v>
      </c>
      <c r="U5" s="467">
        <f>January!J4</f>
        <v>0.4511250291</v>
      </c>
      <c r="V5" s="467">
        <f>February!J4</f>
        <v>0.3907549592</v>
      </c>
      <c r="W5" s="467">
        <f>March!J4</f>
        <v>0.3757183468</v>
      </c>
      <c r="X5" s="467">
        <f>April!J4</f>
        <v>0.5854586161</v>
      </c>
      <c r="Y5" s="467">
        <f>May!J4</f>
        <v>0.4513803413</v>
      </c>
      <c r="Z5" s="467">
        <f>June!J4</f>
        <v>0.5471993095</v>
      </c>
      <c r="AA5" s="467">
        <f>July!J4</f>
        <v>0.7328617498</v>
      </c>
      <c r="AB5" s="467">
        <f>August!J4</f>
        <v>0.8890739717</v>
      </c>
      <c r="AC5" s="467">
        <f>September!J4</f>
        <v>0.5216753533</v>
      </c>
      <c r="AD5" s="467">
        <f>October!J4</f>
        <v>0.4622923661</v>
      </c>
      <c r="AE5" s="467">
        <f>November!J4</f>
        <v>0.4175953596</v>
      </c>
      <c r="AF5" s="468">
        <f>December!J4</f>
        <v>0.3771940489</v>
      </c>
    </row>
    <row r="6" ht="12.75" customHeight="1">
      <c r="C6" s="274"/>
      <c r="D6" s="36"/>
      <c r="F6" s="469" t="s">
        <v>223</v>
      </c>
      <c r="I6" s="36" t="s">
        <v>224</v>
      </c>
      <c r="L6" s="402"/>
      <c r="O6" s="470">
        <f>F7/I7</f>
        <v>7.315898551</v>
      </c>
      <c r="P6" s="108"/>
      <c r="R6" s="471">
        <f>R14+R31</f>
        <v>14</v>
      </c>
      <c r="T6" s="334" t="s">
        <v>103</v>
      </c>
      <c r="U6" s="472">
        <f>January!K8</f>
        <v>0.6325871802</v>
      </c>
      <c r="V6" s="472">
        <f>February!K8</f>
        <v>0.4579159678</v>
      </c>
      <c r="W6" s="472">
        <f>March!K8</f>
        <v>0.3130986223</v>
      </c>
      <c r="X6" s="472">
        <f>April!K8</f>
        <v>0.7146711622</v>
      </c>
      <c r="Y6" s="472">
        <f>May!K8</f>
        <v>0.8489502946</v>
      </c>
      <c r="Z6" s="472">
        <f>June!K8</f>
        <v>0.9262488312</v>
      </c>
      <c r="AA6" s="472">
        <f>July!K8</f>
        <v>1.145096484</v>
      </c>
      <c r="AB6" s="472">
        <f>August!K8</f>
        <v>1.443201673</v>
      </c>
      <c r="AC6" s="472">
        <f>September!K8</f>
        <v>0.7423393699</v>
      </c>
      <c r="AD6" s="472">
        <f>October!K8</f>
        <v>0.6297251782</v>
      </c>
      <c r="AE6" s="472">
        <f>November!K8</f>
        <v>0.6355007507</v>
      </c>
      <c r="AF6" s="473">
        <f>December!K8</f>
        <v>0.6262010578</v>
      </c>
    </row>
    <row r="7" ht="12.75" customHeight="1">
      <c r="C7" s="274"/>
      <c r="D7" s="36"/>
      <c r="F7" s="474">
        <f>Summary!B3</f>
        <v>2194769.565</v>
      </c>
      <c r="G7" s="108"/>
      <c r="I7" s="475">
        <v>300000.0</v>
      </c>
      <c r="J7" s="108"/>
      <c r="L7" s="476" t="s">
        <v>225</v>
      </c>
      <c r="M7" s="476" t="s">
        <v>226</v>
      </c>
      <c r="R7" s="302" t="s">
        <v>227</v>
      </c>
      <c r="T7" s="334" t="s">
        <v>110</v>
      </c>
      <c r="U7" s="472">
        <f>January!K12</f>
        <v>0.9287868246</v>
      </c>
      <c r="V7" s="472">
        <f>February!K12</f>
        <v>0.9697044024</v>
      </c>
      <c r="W7" s="472">
        <f>March!K12</f>
        <v>0.6906587257</v>
      </c>
      <c r="X7" s="472">
        <f>April!K12</f>
        <v>1.076210691</v>
      </c>
      <c r="Y7" s="472">
        <f>May!K12</f>
        <v>0.5185895465</v>
      </c>
      <c r="Z7" s="472">
        <f>June!K12</f>
        <v>0.5658081095</v>
      </c>
      <c r="AA7" s="472">
        <f>July!K12</f>
        <v>0.858822363</v>
      </c>
      <c r="AB7" s="472">
        <f>August!K12</f>
        <v>1.389178081</v>
      </c>
      <c r="AC7" s="472">
        <f>September!K12</f>
        <v>1.467211931</v>
      </c>
      <c r="AD7" s="472">
        <f>October!K12</f>
        <v>1.444663644</v>
      </c>
      <c r="AE7" s="472">
        <f>November!K12</f>
        <v>0.7612415409</v>
      </c>
      <c r="AF7" s="473">
        <f>December!K12</f>
        <v>0.5893657015</v>
      </c>
    </row>
    <row r="8" ht="12.75" customHeight="1">
      <c r="C8" s="274"/>
      <c r="D8" s="36"/>
      <c r="J8" s="36"/>
      <c r="L8" s="477">
        <f>O6*(L5/(L5+M5))</f>
        <v>4.8772657</v>
      </c>
      <c r="M8" s="478">
        <f>O6*(M5/(L5+M5))</f>
        <v>2.43863285</v>
      </c>
      <c r="R8" s="479">
        <f>O6-R6</f>
        <v>-6.684101449</v>
      </c>
      <c r="T8" s="334" t="s">
        <v>88</v>
      </c>
      <c r="U8" s="472" t="str">
        <f>January!L16</f>
        <v>#DIV/0!</v>
      </c>
      <c r="V8" s="472" t="str">
        <f>February!L16</f>
        <v>#DIV/0!</v>
      </c>
      <c r="W8" s="472" t="str">
        <f>March!L16</f>
        <v>#DIV/0!</v>
      </c>
      <c r="X8" s="472" t="str">
        <f>April!L16</f>
        <v>#DIV/0!</v>
      </c>
      <c r="Y8" s="472" t="str">
        <f>May!L16</f>
        <v>#DIV/0!</v>
      </c>
      <c r="Z8" s="472" t="str">
        <f>June!L16</f>
        <v>#DIV/0!</v>
      </c>
      <c r="AA8" s="472" t="str">
        <f>July!L16</f>
        <v>#DIV/0!</v>
      </c>
      <c r="AB8" s="472" t="str">
        <f>August!L16</f>
        <v>#DIV/0!</v>
      </c>
      <c r="AC8" s="472" t="str">
        <f>September!L16</f>
        <v>#DIV/0!</v>
      </c>
      <c r="AD8" s="472" t="str">
        <f>October!L16</f>
        <v>#DIV/0!</v>
      </c>
      <c r="AE8" s="472" t="str">
        <f>November!L16</f>
        <v>#DIV/0!</v>
      </c>
      <c r="AF8" s="473" t="str">
        <f>December!L16</f>
        <v>#DIV/0!</v>
      </c>
    </row>
    <row r="9" ht="12.75" customHeight="1">
      <c r="C9" s="480" t="s">
        <v>115</v>
      </c>
      <c r="E9" s="481"/>
      <c r="F9" s="482" t="s">
        <v>86</v>
      </c>
      <c r="H9" s="481"/>
      <c r="I9" s="482" t="s">
        <v>103</v>
      </c>
      <c r="K9" s="481"/>
      <c r="L9" s="482" t="s">
        <v>110</v>
      </c>
      <c r="N9" s="481"/>
      <c r="O9" s="482" t="s">
        <v>88</v>
      </c>
      <c r="Q9" s="481"/>
      <c r="R9" s="483"/>
      <c r="T9" s="484" t="s">
        <v>86</v>
      </c>
      <c r="U9" s="485">
        <f>January!M4</f>
        <v>0.5639062864</v>
      </c>
      <c r="V9" s="485">
        <f>February!M4</f>
        <v>0.488443699</v>
      </c>
      <c r="W9" s="485">
        <f>March!M4</f>
        <v>0.4696479335</v>
      </c>
      <c r="X9" s="485">
        <f>April!M4</f>
        <v>0.7318232701</v>
      </c>
      <c r="Y9" s="485">
        <f>May!M4</f>
        <v>0.5642254266</v>
      </c>
      <c r="Z9" s="485">
        <f>June!M4</f>
        <v>0.6839991369</v>
      </c>
      <c r="AA9" s="485">
        <f>July!M4</f>
        <v>0.9160771872</v>
      </c>
      <c r="AB9" s="485">
        <f>August!M4</f>
        <v>1.111342465</v>
      </c>
      <c r="AC9" s="485">
        <f>September!M4</f>
        <v>0.6520941916</v>
      </c>
      <c r="AD9" s="485">
        <f>October!M4</f>
        <v>0.5778654576</v>
      </c>
      <c r="AE9" s="485">
        <f>November!M4</f>
        <v>0.5219941995</v>
      </c>
      <c r="AF9" s="486">
        <f>December!M4</f>
        <v>0.4714925612</v>
      </c>
    </row>
    <row r="10" ht="12.75" customHeight="1">
      <c r="C10" s="480" t="s">
        <v>228</v>
      </c>
      <c r="E10" s="481"/>
      <c r="F10" s="487">
        <f>'Input Data'!Q6</f>
        <v>0.64</v>
      </c>
      <c r="G10" s="108"/>
      <c r="H10" s="488"/>
      <c r="I10" s="487">
        <f>'Input Data'!Q7</f>
        <v>0.105</v>
      </c>
      <c r="J10" s="108"/>
      <c r="K10" s="488"/>
      <c r="L10" s="487">
        <f>'Input Data'!Q8</f>
        <v>0.075</v>
      </c>
      <c r="M10" s="108"/>
      <c r="N10" s="488"/>
      <c r="O10" s="487">
        <f>'Input Data'!Q9</f>
        <v>0.18</v>
      </c>
      <c r="P10" s="108"/>
      <c r="Q10" s="481"/>
      <c r="R10" s="489">
        <f>F10+I10+L10+O10</f>
        <v>1</v>
      </c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</row>
    <row r="11" ht="31.5" customHeight="1">
      <c r="C11" s="490" t="s">
        <v>229</v>
      </c>
      <c r="F11" s="491">
        <f>$F$7*F10</f>
        <v>1404652.522</v>
      </c>
      <c r="G11" s="108"/>
      <c r="I11" s="491">
        <f>$F$7*I10</f>
        <v>230450.8043</v>
      </c>
      <c r="J11" s="108"/>
      <c r="L11" s="491">
        <f>$F$7*L10</f>
        <v>164607.7174</v>
      </c>
      <c r="M11" s="108"/>
      <c r="O11" s="491">
        <f>$F$7*O10</f>
        <v>395058.5217</v>
      </c>
      <c r="P11" s="108"/>
      <c r="R11" s="302"/>
      <c r="T11" s="458"/>
      <c r="U11" s="271" t="s">
        <v>230</v>
      </c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08"/>
    </row>
    <row r="12" ht="12.75" customHeight="1">
      <c r="C12" s="492" t="s">
        <v>231</v>
      </c>
      <c r="R12" s="302"/>
      <c r="T12" s="274"/>
      <c r="U12" s="275" t="s">
        <v>68</v>
      </c>
      <c r="V12" s="276" t="s">
        <v>69</v>
      </c>
      <c r="W12" s="276" t="s">
        <v>70</v>
      </c>
      <c r="X12" s="276" t="s">
        <v>71</v>
      </c>
      <c r="Y12" s="276" t="s">
        <v>72</v>
      </c>
      <c r="Z12" s="276" t="s">
        <v>73</v>
      </c>
      <c r="AA12" s="276" t="s">
        <v>75</v>
      </c>
      <c r="AB12" s="276" t="s">
        <v>76</v>
      </c>
      <c r="AC12" s="276" t="s">
        <v>77</v>
      </c>
      <c r="AD12" s="276" t="s">
        <v>100</v>
      </c>
      <c r="AE12" s="276" t="s">
        <v>79</v>
      </c>
      <c r="AF12" s="277" t="s">
        <v>81</v>
      </c>
    </row>
    <row r="13" ht="27.75" customHeight="1">
      <c r="C13" s="493" t="s">
        <v>115</v>
      </c>
      <c r="D13" s="172"/>
      <c r="E13" s="494"/>
      <c r="F13" s="495" t="s">
        <v>86</v>
      </c>
      <c r="G13" s="172"/>
      <c r="H13" s="494"/>
      <c r="I13" s="495" t="s">
        <v>103</v>
      </c>
      <c r="J13" s="172"/>
      <c r="K13" s="494"/>
      <c r="L13" s="495" t="s">
        <v>110</v>
      </c>
      <c r="M13" s="172"/>
      <c r="O13" s="495" t="s">
        <v>88</v>
      </c>
      <c r="P13" s="172"/>
      <c r="R13" s="496" t="s">
        <v>232</v>
      </c>
      <c r="T13" s="466" t="s">
        <v>115</v>
      </c>
      <c r="U13" s="467">
        <f t="shared" ref="U13:AF13" si="1">U5/$U23</f>
        <v>0.4511250291</v>
      </c>
      <c r="V13" s="467">
        <f t="shared" si="1"/>
        <v>0.3907549592</v>
      </c>
      <c r="W13" s="467">
        <f t="shared" si="1"/>
        <v>0.3757183468</v>
      </c>
      <c r="X13" s="467">
        <f t="shared" si="1"/>
        <v>0.5854586161</v>
      </c>
      <c r="Y13" s="467">
        <f t="shared" si="1"/>
        <v>0.4513803413</v>
      </c>
      <c r="Z13" s="467">
        <f t="shared" si="1"/>
        <v>0.5471993095</v>
      </c>
      <c r="AA13" s="467">
        <f t="shared" si="1"/>
        <v>0.7328617498</v>
      </c>
      <c r="AB13" s="467">
        <f t="shared" si="1"/>
        <v>0.8890739717</v>
      </c>
      <c r="AC13" s="467">
        <f t="shared" si="1"/>
        <v>0.5216753533</v>
      </c>
      <c r="AD13" s="467">
        <f t="shared" si="1"/>
        <v>0.4622923661</v>
      </c>
      <c r="AE13" s="467">
        <f t="shared" si="1"/>
        <v>0.4175953596</v>
      </c>
      <c r="AF13" s="468">
        <f t="shared" si="1"/>
        <v>0.3771940489</v>
      </c>
    </row>
    <row r="14" ht="12.75" customHeight="1">
      <c r="C14" s="497">
        <v>2.0</v>
      </c>
      <c r="D14" s="15"/>
      <c r="E14" s="481"/>
      <c r="F14" s="497">
        <v>4.0</v>
      </c>
      <c r="G14" s="15"/>
      <c r="H14" s="481"/>
      <c r="I14" s="497">
        <v>2.0</v>
      </c>
      <c r="J14" s="15"/>
      <c r="K14" s="481"/>
      <c r="L14" s="498">
        <v>1.0</v>
      </c>
      <c r="M14" s="15"/>
      <c r="N14" s="481"/>
      <c r="O14" s="498">
        <v>0.0</v>
      </c>
      <c r="P14" s="15"/>
      <c r="Q14" s="481"/>
      <c r="R14" s="499">
        <f>C14+F14+I14+L14+O14</f>
        <v>9</v>
      </c>
      <c r="T14" s="334" t="s">
        <v>103</v>
      </c>
      <c r="U14" s="472">
        <f t="shared" ref="U14:AF14" si="2">U6/$U24</f>
        <v>1.054311967</v>
      </c>
      <c r="V14" s="472">
        <f t="shared" si="2"/>
        <v>0.7631932797</v>
      </c>
      <c r="W14" s="472">
        <f t="shared" si="2"/>
        <v>0.5218310372</v>
      </c>
      <c r="X14" s="472">
        <f t="shared" si="2"/>
        <v>1.191118604</v>
      </c>
      <c r="Y14" s="472">
        <f t="shared" si="2"/>
        <v>1.414917158</v>
      </c>
      <c r="Z14" s="472">
        <f t="shared" si="2"/>
        <v>1.543748052</v>
      </c>
      <c r="AA14" s="472">
        <f t="shared" si="2"/>
        <v>1.90849414</v>
      </c>
      <c r="AB14" s="472">
        <f t="shared" si="2"/>
        <v>2.405336121</v>
      </c>
      <c r="AC14" s="472">
        <f t="shared" si="2"/>
        <v>1.237232283</v>
      </c>
      <c r="AD14" s="472">
        <f t="shared" si="2"/>
        <v>1.049541964</v>
      </c>
      <c r="AE14" s="472">
        <f t="shared" si="2"/>
        <v>1.059167918</v>
      </c>
      <c r="AF14" s="473">
        <f t="shared" si="2"/>
        <v>1.04366843</v>
      </c>
    </row>
    <row r="15" ht="12.75" customHeight="1">
      <c r="C15" s="274"/>
      <c r="D15" s="500"/>
      <c r="F15" s="274"/>
      <c r="G15" s="501"/>
      <c r="I15" s="274"/>
      <c r="J15" s="500"/>
      <c r="L15" s="274"/>
      <c r="M15" s="501"/>
      <c r="O15" s="274"/>
      <c r="P15" s="501"/>
      <c r="R15" s="302"/>
      <c r="T15" s="334" t="s">
        <v>110</v>
      </c>
      <c r="U15" s="472">
        <f t="shared" ref="U15:AF15" si="3">U7/$U25</f>
        <v>0.9776703417</v>
      </c>
      <c r="V15" s="472">
        <f t="shared" si="3"/>
        <v>1.020741476</v>
      </c>
      <c r="W15" s="472">
        <f t="shared" si="3"/>
        <v>0.7270091849</v>
      </c>
      <c r="X15" s="472">
        <f t="shared" si="3"/>
        <v>1.132853359</v>
      </c>
      <c r="Y15" s="472">
        <f t="shared" si="3"/>
        <v>0.5458837332</v>
      </c>
      <c r="Z15" s="472">
        <f t="shared" si="3"/>
        <v>0.5955874837</v>
      </c>
      <c r="AA15" s="472">
        <f t="shared" si="3"/>
        <v>0.90402354</v>
      </c>
      <c r="AB15" s="472">
        <f t="shared" si="3"/>
        <v>1.462292717</v>
      </c>
      <c r="AC15" s="472">
        <f t="shared" si="3"/>
        <v>1.544433612</v>
      </c>
      <c r="AD15" s="472">
        <f t="shared" si="3"/>
        <v>1.520698573</v>
      </c>
      <c r="AE15" s="472">
        <f t="shared" si="3"/>
        <v>0.8013068852</v>
      </c>
      <c r="AF15" s="473">
        <f t="shared" si="3"/>
        <v>0.6203849489</v>
      </c>
    </row>
    <row r="16" ht="12.75" customHeight="1">
      <c r="C16" s="274" t="s">
        <v>233</v>
      </c>
      <c r="D16" s="27">
        <v>3.0</v>
      </c>
      <c r="F16" s="274" t="s">
        <v>234</v>
      </c>
      <c r="G16" s="27">
        <f>F14/2</f>
        <v>2</v>
      </c>
      <c r="I16" s="274" t="s">
        <v>235</v>
      </c>
      <c r="J16" s="27">
        <f>I14</f>
        <v>2</v>
      </c>
      <c r="L16" s="274" t="s">
        <v>235</v>
      </c>
      <c r="M16" s="502">
        <f>L14</f>
        <v>1</v>
      </c>
      <c r="O16" s="274" t="s">
        <v>236</v>
      </c>
      <c r="P16" s="503">
        <f>O14/1.75</f>
        <v>0</v>
      </c>
      <c r="R16" s="302"/>
      <c r="T16" s="334" t="s">
        <v>88</v>
      </c>
      <c r="U16" s="472" t="str">
        <f t="shared" ref="U16:AF16" si="4">U8/$U26</f>
        <v>#DIV/0!</v>
      </c>
      <c r="V16" s="472" t="str">
        <f t="shared" si="4"/>
        <v>#DIV/0!</v>
      </c>
      <c r="W16" s="472" t="str">
        <f t="shared" si="4"/>
        <v>#DIV/0!</v>
      </c>
      <c r="X16" s="472" t="str">
        <f t="shared" si="4"/>
        <v>#DIV/0!</v>
      </c>
      <c r="Y16" s="472" t="str">
        <f t="shared" si="4"/>
        <v>#DIV/0!</v>
      </c>
      <c r="Z16" s="472" t="str">
        <f t="shared" si="4"/>
        <v>#DIV/0!</v>
      </c>
      <c r="AA16" s="472" t="str">
        <f t="shared" si="4"/>
        <v>#DIV/0!</v>
      </c>
      <c r="AB16" s="472" t="str">
        <f t="shared" si="4"/>
        <v>#DIV/0!</v>
      </c>
      <c r="AC16" s="472" t="str">
        <f t="shared" si="4"/>
        <v>#DIV/0!</v>
      </c>
      <c r="AD16" s="472" t="str">
        <f t="shared" si="4"/>
        <v>#DIV/0!</v>
      </c>
      <c r="AE16" s="472" t="str">
        <f t="shared" si="4"/>
        <v>#DIV/0!</v>
      </c>
      <c r="AF16" s="473" t="str">
        <f t="shared" si="4"/>
        <v>#DIV/0!</v>
      </c>
    </row>
    <row r="17" ht="12.75" customHeight="1">
      <c r="C17" s="274" t="s">
        <v>112</v>
      </c>
      <c r="D17" s="504">
        <v>1.0</v>
      </c>
      <c r="F17" s="274" t="s">
        <v>113</v>
      </c>
      <c r="G17" s="504">
        <v>22.0</v>
      </c>
      <c r="I17" s="274" t="s">
        <v>112</v>
      </c>
      <c r="J17" s="504">
        <v>3.0</v>
      </c>
      <c r="L17" s="274" t="s">
        <v>112</v>
      </c>
      <c r="M17" s="504">
        <v>4.5</v>
      </c>
      <c r="O17" s="274" t="s">
        <v>112</v>
      </c>
      <c r="P17" s="504">
        <v>3.0</v>
      </c>
      <c r="R17" s="302"/>
      <c r="T17" s="505" t="s">
        <v>86</v>
      </c>
      <c r="U17" s="506">
        <f t="shared" ref="U17:AF17" si="5">U9/$U27</f>
        <v>0.6634191605</v>
      </c>
      <c r="V17" s="506">
        <f t="shared" si="5"/>
        <v>0.5746396459</v>
      </c>
      <c r="W17" s="506">
        <f t="shared" si="5"/>
        <v>0.5525269805</v>
      </c>
      <c r="X17" s="506">
        <f t="shared" si="5"/>
        <v>0.8609685531</v>
      </c>
      <c r="Y17" s="506">
        <f t="shared" si="5"/>
        <v>0.6637946195</v>
      </c>
      <c r="Z17" s="506">
        <f t="shared" si="5"/>
        <v>0.8047048669</v>
      </c>
      <c r="AA17" s="506">
        <f t="shared" si="5"/>
        <v>1.077737867</v>
      </c>
      <c r="AB17" s="506">
        <f t="shared" si="5"/>
        <v>1.307461723</v>
      </c>
      <c r="AC17" s="506">
        <f t="shared" si="5"/>
        <v>0.7671696372</v>
      </c>
      <c r="AD17" s="506">
        <f t="shared" si="5"/>
        <v>0.6798417149</v>
      </c>
      <c r="AE17" s="506">
        <f t="shared" si="5"/>
        <v>0.6141108229</v>
      </c>
      <c r="AF17" s="507">
        <f t="shared" si="5"/>
        <v>0.5546971308</v>
      </c>
    </row>
    <row r="18" ht="12.75" customHeight="1">
      <c r="C18" s="274" t="s">
        <v>113</v>
      </c>
      <c r="D18" s="504">
        <v>21.0</v>
      </c>
      <c r="F18" s="274" t="s">
        <v>237</v>
      </c>
      <c r="G18" s="508">
        <f>G16*G17</f>
        <v>44</v>
      </c>
      <c r="I18" s="274" t="s">
        <v>113</v>
      </c>
      <c r="J18" s="504">
        <v>21.0</v>
      </c>
      <c r="L18" s="274" t="s">
        <v>113</v>
      </c>
      <c r="M18" s="504">
        <v>21.0</v>
      </c>
      <c r="O18" s="274" t="s">
        <v>113</v>
      </c>
      <c r="P18" s="504">
        <v>22.0</v>
      </c>
      <c r="R18" s="509" t="s">
        <v>238</v>
      </c>
      <c r="T18" s="510" t="s">
        <v>85</v>
      </c>
      <c r="U18" s="511" t="str">
        <f t="shared" ref="U18:AF18" si="6">U13+U14+U15+U16+(U17*2)</f>
        <v>#DIV/0!</v>
      </c>
      <c r="V18" s="511" t="str">
        <f t="shared" si="6"/>
        <v>#DIV/0!</v>
      </c>
      <c r="W18" s="511" t="str">
        <f t="shared" si="6"/>
        <v>#DIV/0!</v>
      </c>
      <c r="X18" s="511" t="str">
        <f t="shared" si="6"/>
        <v>#DIV/0!</v>
      </c>
      <c r="Y18" s="511" t="str">
        <f t="shared" si="6"/>
        <v>#DIV/0!</v>
      </c>
      <c r="Z18" s="511" t="str">
        <f t="shared" si="6"/>
        <v>#DIV/0!</v>
      </c>
      <c r="AA18" s="511" t="str">
        <f t="shared" si="6"/>
        <v>#DIV/0!</v>
      </c>
      <c r="AB18" s="511" t="str">
        <f t="shared" si="6"/>
        <v>#DIV/0!</v>
      </c>
      <c r="AC18" s="511" t="str">
        <f t="shared" si="6"/>
        <v>#DIV/0!</v>
      </c>
      <c r="AD18" s="511" t="str">
        <f t="shared" si="6"/>
        <v>#DIV/0!</v>
      </c>
      <c r="AE18" s="511" t="str">
        <f t="shared" si="6"/>
        <v>#DIV/0!</v>
      </c>
      <c r="AF18" s="512" t="str">
        <f t="shared" si="6"/>
        <v>#DIV/0!</v>
      </c>
    </row>
    <row r="19" ht="12.75" customHeight="1">
      <c r="C19" s="274" t="s">
        <v>239</v>
      </c>
      <c r="D19" s="513">
        <f>D16*D17*D18</f>
        <v>63</v>
      </c>
      <c r="F19" s="274" t="s">
        <v>240</v>
      </c>
      <c r="G19" s="514">
        <v>0.85</v>
      </c>
      <c r="I19" s="274" t="s">
        <v>241</v>
      </c>
      <c r="J19" s="508">
        <f>J16*J17*J18</f>
        <v>126</v>
      </c>
      <c r="L19" s="274" t="s">
        <v>241</v>
      </c>
      <c r="M19" s="508">
        <f>M16*M17*M18</f>
        <v>94.5</v>
      </c>
      <c r="O19" s="274" t="s">
        <v>241</v>
      </c>
      <c r="P19" s="515">
        <f>P16*P17*P18</f>
        <v>0</v>
      </c>
      <c r="R19" s="516">
        <f>P19+M19+J19+D19+G18</f>
        <v>327.5</v>
      </c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</row>
    <row r="20" ht="12.75" customHeight="1">
      <c r="C20" s="274" t="s">
        <v>242</v>
      </c>
      <c r="D20" s="517">
        <f>'Input Data'!Q13</f>
        <v>0.5</v>
      </c>
      <c r="F20" s="274"/>
      <c r="G20" s="518"/>
      <c r="I20" s="274"/>
      <c r="J20" s="27"/>
      <c r="L20" s="274"/>
      <c r="M20" s="27"/>
      <c r="O20" s="301"/>
      <c r="P20" s="518"/>
      <c r="R20" s="302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</row>
    <row r="21" ht="12.75" customHeight="1">
      <c r="C21" s="274" t="s">
        <v>243</v>
      </c>
      <c r="D21" s="515">
        <f>D19*D20</f>
        <v>31.5</v>
      </c>
      <c r="F21" s="274" t="s">
        <v>244</v>
      </c>
      <c r="G21" s="519">
        <f>G18*G19</f>
        <v>37.4</v>
      </c>
      <c r="I21" s="274"/>
      <c r="J21" s="27"/>
      <c r="L21" s="274"/>
      <c r="M21" s="27"/>
      <c r="O21" s="274"/>
      <c r="P21" s="27"/>
      <c r="R21" s="302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</row>
    <row r="22" ht="12.75" customHeight="1">
      <c r="C22" s="274" t="s">
        <v>245</v>
      </c>
      <c r="D22" s="520">
        <f>'Input Data'!Q12</f>
        <v>8166.666667</v>
      </c>
      <c r="F22" s="274" t="s">
        <v>246</v>
      </c>
      <c r="G22" s="521">
        <f>G21/G17</f>
        <v>1.7</v>
      </c>
      <c r="I22" s="274" t="s">
        <v>247</v>
      </c>
      <c r="J22" s="520">
        <f>'Input Data'!Q16</f>
        <v>387.5</v>
      </c>
      <c r="L22" s="274" t="s">
        <v>247</v>
      </c>
      <c r="M22" s="520">
        <f>'Input Data'!Q20</f>
        <v>156.25</v>
      </c>
      <c r="O22" s="274" t="s">
        <v>247</v>
      </c>
      <c r="P22" s="520">
        <f>'Input Data'!Q24</f>
        <v>750</v>
      </c>
      <c r="R22" s="522"/>
      <c r="T22" s="311" t="s">
        <v>240</v>
      </c>
      <c r="U22" s="79"/>
      <c r="V22" s="278"/>
      <c r="W22" s="278"/>
      <c r="X22" s="278"/>
      <c r="Y22" s="278"/>
      <c r="Z22" s="278"/>
      <c r="AA22" s="278"/>
      <c r="AB22" s="36"/>
      <c r="AC22" s="36"/>
      <c r="AD22" s="36"/>
      <c r="AE22" s="36"/>
      <c r="AF22" s="36"/>
    </row>
    <row r="23" ht="12.75" customHeight="1">
      <c r="C23" s="274" t="s">
        <v>85</v>
      </c>
      <c r="D23" s="523">
        <f>D21*D22</f>
        <v>257250</v>
      </c>
      <c r="F23" s="274"/>
      <c r="G23" s="524"/>
      <c r="I23" s="274"/>
      <c r="J23" s="525"/>
      <c r="K23" s="481"/>
      <c r="L23" s="526"/>
      <c r="M23" s="525"/>
      <c r="N23" s="481"/>
      <c r="O23" s="526"/>
      <c r="P23" s="525"/>
      <c r="R23" s="522"/>
      <c r="T23" s="466" t="s">
        <v>115</v>
      </c>
      <c r="U23" s="282">
        <v>1.0</v>
      </c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</row>
    <row r="24" ht="12.75" customHeight="1">
      <c r="C24" s="201" t="s">
        <v>243</v>
      </c>
      <c r="D24" s="527">
        <f>D21</f>
        <v>31.5</v>
      </c>
      <c r="F24" s="274" t="s">
        <v>248</v>
      </c>
      <c r="G24" s="528">
        <f>D23</f>
        <v>257250</v>
      </c>
      <c r="I24" s="274" t="s">
        <v>85</v>
      </c>
      <c r="J24" s="529">
        <f>J22*J19</f>
        <v>48825</v>
      </c>
      <c r="L24" s="274" t="s">
        <v>85</v>
      </c>
      <c r="M24" s="529">
        <f>M22*M19</f>
        <v>14765.625</v>
      </c>
      <c r="O24" s="274" t="s">
        <v>85</v>
      </c>
      <c r="P24" s="529">
        <f>P22*P19</f>
        <v>0</v>
      </c>
      <c r="R24" s="302"/>
      <c r="T24" s="334" t="s">
        <v>103</v>
      </c>
      <c r="U24" s="288">
        <v>0.6</v>
      </c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</row>
    <row r="25" ht="19.5" customHeight="1">
      <c r="C25" s="530"/>
      <c r="F25" s="531" t="s">
        <v>249</v>
      </c>
      <c r="G25" s="169"/>
      <c r="H25" s="169"/>
      <c r="I25" s="169"/>
      <c r="J25" s="169"/>
      <c r="K25" s="169"/>
      <c r="L25" s="169"/>
      <c r="M25" s="169"/>
      <c r="N25" s="169"/>
      <c r="O25" s="169"/>
      <c r="P25" s="108"/>
      <c r="Q25" s="481"/>
      <c r="R25" s="302"/>
      <c r="S25" s="482"/>
      <c r="T25" s="334" t="s">
        <v>110</v>
      </c>
      <c r="U25" s="288">
        <v>0.95</v>
      </c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</row>
    <row r="26" ht="12.75" customHeight="1">
      <c r="C26" s="274"/>
      <c r="D26" s="36"/>
      <c r="F26" s="532" t="s">
        <v>250</v>
      </c>
      <c r="G26" s="169"/>
      <c r="H26" s="169"/>
      <c r="I26" s="169"/>
      <c r="J26" s="169"/>
      <c r="K26" s="169"/>
      <c r="L26" s="169"/>
      <c r="M26" s="169"/>
      <c r="N26" s="169"/>
      <c r="O26" s="169"/>
      <c r="P26" s="108"/>
      <c r="Q26" s="533"/>
      <c r="R26" s="302"/>
      <c r="T26" s="334" t="s">
        <v>88</v>
      </c>
      <c r="U26" s="288">
        <v>0.75</v>
      </c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</row>
    <row r="27" ht="12.75" customHeight="1">
      <c r="C27" s="274"/>
      <c r="D27" s="36"/>
      <c r="F27" s="274"/>
      <c r="I27" s="482" t="s">
        <v>251</v>
      </c>
      <c r="K27" s="481"/>
      <c r="L27" s="534" t="s">
        <v>223</v>
      </c>
      <c r="O27" s="482" t="s">
        <v>252</v>
      </c>
      <c r="P27" s="84"/>
      <c r="R27" s="302"/>
      <c r="T27" s="484" t="s">
        <v>86</v>
      </c>
      <c r="U27" s="294">
        <v>0.85</v>
      </c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</row>
    <row r="28" ht="12.75" customHeight="1">
      <c r="C28" s="274"/>
      <c r="D28" s="36"/>
      <c r="F28" s="201"/>
      <c r="G28" s="535" t="s">
        <v>253</v>
      </c>
      <c r="H28" s="376"/>
      <c r="I28" s="536">
        <f>G24+J24+M24+P24</f>
        <v>320840.625</v>
      </c>
      <c r="J28" s="376"/>
      <c r="K28" s="537"/>
      <c r="L28" s="538">
        <f>I28*12</f>
        <v>3850087.5</v>
      </c>
      <c r="M28" s="376"/>
      <c r="N28" s="539"/>
      <c r="O28" s="540">
        <f>L28/R6</f>
        <v>275006.25</v>
      </c>
      <c r="P28" s="75"/>
      <c r="R28" s="302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</row>
    <row r="29" ht="12.75" customHeight="1">
      <c r="C29" s="480"/>
      <c r="D29" s="482"/>
      <c r="E29" s="481"/>
      <c r="F29" s="482"/>
      <c r="G29" s="541" t="s">
        <v>254</v>
      </c>
      <c r="H29" s="384"/>
      <c r="I29" s="542">
        <v>0.8</v>
      </c>
      <c r="J29" s="384"/>
      <c r="K29" s="543"/>
      <c r="L29" s="544">
        <f>L28*I29</f>
        <v>3080070</v>
      </c>
      <c r="M29" s="384"/>
      <c r="N29" s="543"/>
      <c r="O29" s="545">
        <f>L29/R6</f>
        <v>220005</v>
      </c>
      <c r="P29" s="81"/>
      <c r="Q29" s="481"/>
      <c r="R29" s="483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</row>
    <row r="30" ht="25.5" customHeight="1">
      <c r="C30" s="530"/>
      <c r="D30" s="546" t="s">
        <v>255</v>
      </c>
      <c r="E30" s="167"/>
      <c r="F30" s="167"/>
      <c r="G30" s="167"/>
      <c r="H30" s="167"/>
      <c r="I30" s="167"/>
      <c r="J30" s="167"/>
      <c r="K30" s="167"/>
      <c r="L30" s="167"/>
      <c r="M30" s="167"/>
      <c r="N30" s="79"/>
      <c r="O30" s="494"/>
      <c r="Q30" s="547"/>
      <c r="R30" s="496" t="s">
        <v>256</v>
      </c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</row>
    <row r="31" ht="12.75" customHeight="1">
      <c r="C31" s="530"/>
      <c r="D31" s="375" t="s">
        <v>257</v>
      </c>
      <c r="E31" s="376"/>
      <c r="F31" s="548">
        <v>1.0</v>
      </c>
      <c r="G31" s="539"/>
      <c r="H31" s="549" t="s">
        <v>258</v>
      </c>
      <c r="I31" s="376"/>
      <c r="J31" s="548">
        <v>1.0</v>
      </c>
      <c r="K31" s="539"/>
      <c r="L31" s="549" t="s">
        <v>259</v>
      </c>
      <c r="M31" s="376"/>
      <c r="N31" s="550">
        <v>1.0</v>
      </c>
      <c r="O31" s="36"/>
      <c r="Q31" s="481"/>
      <c r="R31" s="551">
        <f>F31+F32+F33+F34+F35+F36+J32+J33+J34+J35+N31+N32+N33+N34+J31+N35</f>
        <v>5</v>
      </c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</row>
    <row r="32" ht="12.75" customHeight="1">
      <c r="C32" s="530"/>
      <c r="D32" s="379" t="s">
        <v>260</v>
      </c>
      <c r="E32" s="380"/>
      <c r="F32" s="552">
        <v>1.0</v>
      </c>
      <c r="G32" s="381"/>
      <c r="H32" s="553" t="s">
        <v>261</v>
      </c>
      <c r="I32" s="380"/>
      <c r="J32" s="552"/>
      <c r="K32" s="381"/>
      <c r="L32" s="553" t="s">
        <v>262</v>
      </c>
      <c r="M32" s="380"/>
      <c r="N32" s="554"/>
      <c r="Q32" s="36"/>
      <c r="R32" s="165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</row>
    <row r="33" ht="12.75" customHeight="1">
      <c r="C33" s="530"/>
      <c r="D33" s="379" t="s">
        <v>263</v>
      </c>
      <c r="E33" s="380"/>
      <c r="F33" s="552"/>
      <c r="G33" s="381"/>
      <c r="H33" s="553" t="s">
        <v>264</v>
      </c>
      <c r="I33" s="380"/>
      <c r="J33" s="552"/>
      <c r="K33" s="381"/>
      <c r="L33" s="553" t="s">
        <v>265</v>
      </c>
      <c r="M33" s="380"/>
      <c r="N33" s="554"/>
      <c r="Q33" s="36"/>
      <c r="R33" s="165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</row>
    <row r="34" ht="12.75" customHeight="1">
      <c r="C34" s="530"/>
      <c r="D34" s="379" t="s">
        <v>266</v>
      </c>
      <c r="E34" s="380"/>
      <c r="F34" s="552"/>
      <c r="G34" s="381"/>
      <c r="H34" s="553" t="s">
        <v>267</v>
      </c>
      <c r="I34" s="380"/>
      <c r="J34" s="552"/>
      <c r="K34" s="381"/>
      <c r="L34" s="553" t="s">
        <v>265</v>
      </c>
      <c r="M34" s="380"/>
      <c r="N34" s="554"/>
      <c r="Q34" s="36"/>
      <c r="R34" s="165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</row>
    <row r="35" ht="12.75" customHeight="1">
      <c r="C35" s="530"/>
      <c r="D35" s="379" t="s">
        <v>268</v>
      </c>
      <c r="E35" s="380"/>
      <c r="F35" s="552"/>
      <c r="G35" s="381"/>
      <c r="H35" s="553" t="s">
        <v>269</v>
      </c>
      <c r="I35" s="380"/>
      <c r="J35" s="552"/>
      <c r="K35" s="381"/>
      <c r="L35" s="553" t="s">
        <v>270</v>
      </c>
      <c r="M35" s="380"/>
      <c r="N35" s="555"/>
      <c r="O35" s="556"/>
      <c r="Q35" s="36"/>
      <c r="R35" s="165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</row>
    <row r="36" ht="12.75" customHeight="1">
      <c r="C36" s="557"/>
      <c r="D36" s="383" t="s">
        <v>271</v>
      </c>
      <c r="E36" s="384"/>
      <c r="F36" s="558">
        <v>1.0</v>
      </c>
      <c r="G36" s="559"/>
      <c r="H36" s="559"/>
      <c r="I36" s="559"/>
      <c r="J36" s="559"/>
      <c r="K36" s="559"/>
      <c r="L36" s="559"/>
      <c r="M36" s="559"/>
      <c r="N36" s="560"/>
      <c r="O36" s="207"/>
      <c r="P36" s="207"/>
      <c r="Q36" s="207"/>
      <c r="R36" s="561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</row>
    <row r="37" ht="12.75" customHeight="1">
      <c r="D37" s="36"/>
      <c r="F37" s="36"/>
      <c r="G37" s="36"/>
      <c r="H37" s="36"/>
      <c r="I37" s="36"/>
      <c r="J37" s="36"/>
      <c r="K37" s="36"/>
      <c r="L37" s="36"/>
      <c r="M37" s="36"/>
      <c r="N37" s="36"/>
      <c r="P37" s="36"/>
      <c r="Q37" s="36"/>
      <c r="R37" s="36"/>
      <c r="S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</row>
    <row r="38" ht="12.75" customHeight="1">
      <c r="G38" s="562"/>
      <c r="H38" s="549" t="s">
        <v>272</v>
      </c>
      <c r="I38" s="75"/>
      <c r="J38" s="563"/>
      <c r="M38" s="563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</row>
    <row r="39" ht="12.75" customHeight="1">
      <c r="G39" s="564"/>
      <c r="H39" s="553" t="s">
        <v>273</v>
      </c>
      <c r="I39" s="285"/>
      <c r="J39" s="565"/>
      <c r="M39" s="565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</row>
    <row r="40" ht="12.75" customHeight="1">
      <c r="C40" s="566"/>
      <c r="D40" s="567"/>
      <c r="E40" s="567"/>
      <c r="G40" s="568"/>
      <c r="H40" s="569" t="s">
        <v>274</v>
      </c>
      <c r="I40" s="81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</row>
    <row r="41" ht="12.75" customHeight="1">
      <c r="C41" s="452"/>
      <c r="D41" s="570"/>
      <c r="E41" s="570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</row>
    <row r="42" ht="12.75" customHeight="1">
      <c r="C42" s="566"/>
      <c r="D42" s="453"/>
      <c r="E42" s="453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</row>
    <row r="43" ht="12.75" customHeight="1">
      <c r="C43" s="566"/>
      <c r="D43" s="453"/>
      <c r="E43" s="453"/>
      <c r="F43" s="453"/>
      <c r="G43" s="453"/>
      <c r="H43" s="453"/>
      <c r="I43" s="453"/>
      <c r="J43" s="453"/>
      <c r="L43" s="402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</row>
    <row r="44" ht="12.75" customHeight="1">
      <c r="C44" s="571"/>
      <c r="D44" s="453"/>
      <c r="E44" s="453"/>
      <c r="F44" s="453"/>
      <c r="G44" s="453"/>
      <c r="H44" s="453"/>
      <c r="I44" s="453"/>
      <c r="J44" s="453"/>
      <c r="L44" s="402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</row>
    <row r="45" ht="12.75" customHeight="1">
      <c r="C45" s="571"/>
      <c r="D45" s="453"/>
      <c r="E45" s="453"/>
      <c r="F45" s="453"/>
      <c r="G45" s="453"/>
      <c r="H45" s="453"/>
      <c r="I45" s="453"/>
      <c r="J45" s="453"/>
      <c r="L45" s="402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</row>
    <row r="46" ht="12.75" customHeight="1">
      <c r="C46" s="571"/>
      <c r="D46" s="453"/>
      <c r="E46" s="453"/>
      <c r="F46" s="453"/>
      <c r="G46" s="453"/>
      <c r="H46" s="453"/>
      <c r="I46" s="453"/>
      <c r="J46" s="453"/>
      <c r="L46" s="402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</row>
    <row r="47" ht="12.75" customHeight="1">
      <c r="C47" s="566"/>
      <c r="D47" s="453"/>
      <c r="E47" s="453"/>
      <c r="F47" s="453"/>
      <c r="G47" s="453"/>
      <c r="H47" s="453"/>
      <c r="I47" s="453"/>
      <c r="J47" s="453"/>
      <c r="L47" s="402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</row>
    <row r="48" ht="12.75" customHeight="1">
      <c r="C48" s="566"/>
      <c r="D48" s="453"/>
      <c r="E48" s="453"/>
      <c r="F48" s="453"/>
      <c r="G48" s="453"/>
      <c r="H48" s="453"/>
      <c r="I48" s="453"/>
      <c r="J48" s="453"/>
      <c r="L48" s="402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</row>
    <row r="49" ht="12.75" customHeight="1">
      <c r="C49" s="566"/>
      <c r="D49" s="453"/>
      <c r="E49" s="453"/>
      <c r="F49" s="453"/>
      <c r="G49" s="453"/>
      <c r="H49" s="453"/>
      <c r="I49" s="453"/>
      <c r="J49" s="453"/>
      <c r="L49" s="572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</row>
    <row r="50" ht="12.75" customHeight="1">
      <c r="C50" s="566"/>
      <c r="D50" s="573"/>
      <c r="E50" s="573"/>
      <c r="F50" s="574"/>
      <c r="G50" s="574"/>
      <c r="H50" s="574"/>
      <c r="I50" s="574"/>
      <c r="J50" s="574"/>
      <c r="L50" s="575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</row>
    <row r="51" ht="12.75" customHeight="1">
      <c r="C51" s="566"/>
      <c r="D51" s="453"/>
      <c r="E51" s="453"/>
      <c r="F51" s="453"/>
      <c r="G51" s="453"/>
      <c r="H51" s="453"/>
      <c r="I51" s="453"/>
      <c r="J51" s="453"/>
      <c r="L51" s="402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</row>
    <row r="52" ht="12.75" customHeight="1">
      <c r="C52" s="566"/>
      <c r="D52" s="453"/>
      <c r="E52" s="453"/>
      <c r="F52" s="576"/>
      <c r="G52" s="576"/>
      <c r="H52" s="576"/>
      <c r="I52" s="576"/>
      <c r="J52" s="576"/>
      <c r="L52" s="572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</row>
    <row r="53" ht="12.75" customHeight="1">
      <c r="C53" s="566"/>
      <c r="D53" s="453"/>
      <c r="E53" s="453"/>
      <c r="F53" s="453"/>
      <c r="G53" s="453"/>
      <c r="H53" s="453"/>
      <c r="I53" s="453"/>
      <c r="J53" s="453"/>
      <c r="L53" s="575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</row>
    <row r="54" ht="12.75" customHeight="1">
      <c r="C54" s="566"/>
      <c r="D54" s="453"/>
      <c r="E54" s="453"/>
      <c r="F54" s="453"/>
      <c r="G54" s="453"/>
      <c r="H54" s="453"/>
      <c r="I54" s="453"/>
      <c r="J54" s="453"/>
      <c r="L54" s="572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</row>
    <row r="55" ht="12.75" customHeight="1">
      <c r="C55" s="452"/>
      <c r="D55" s="577"/>
      <c r="E55" s="577"/>
      <c r="F55" s="573"/>
      <c r="G55" s="573"/>
      <c r="H55" s="573"/>
      <c r="I55" s="573"/>
      <c r="J55" s="573"/>
      <c r="L55" s="575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</row>
    <row r="56" ht="12.75" customHeight="1">
      <c r="C56" s="452"/>
      <c r="D56" s="453"/>
      <c r="E56" s="453"/>
      <c r="F56" s="453"/>
      <c r="G56" s="453"/>
      <c r="H56" s="453"/>
      <c r="I56" s="453"/>
      <c r="J56" s="453"/>
      <c r="L56" s="402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</row>
    <row r="57" ht="12.75" customHeight="1">
      <c r="C57" s="566"/>
      <c r="D57" s="452"/>
      <c r="E57" s="452"/>
      <c r="F57" s="452"/>
      <c r="G57" s="452"/>
      <c r="H57" s="452"/>
      <c r="I57" s="452"/>
      <c r="J57" s="452"/>
      <c r="L57" s="402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</row>
    <row r="58" ht="12.75" customHeight="1">
      <c r="C58" s="578"/>
      <c r="D58" s="579"/>
      <c r="E58" s="579"/>
      <c r="F58" s="580"/>
      <c r="G58" s="580"/>
      <c r="H58" s="580"/>
      <c r="I58" s="580"/>
      <c r="J58" s="580"/>
      <c r="L58" s="402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</row>
    <row r="59" ht="12.75" customHeight="1">
      <c r="C59" s="578"/>
      <c r="D59" s="579"/>
      <c r="E59" s="579"/>
      <c r="F59" s="580"/>
      <c r="G59" s="580"/>
      <c r="H59" s="580"/>
      <c r="I59" s="580"/>
      <c r="J59" s="580"/>
      <c r="L59" s="402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</row>
    <row r="60" ht="12.75" customHeight="1">
      <c r="C60" s="578"/>
      <c r="D60" s="579"/>
      <c r="E60" s="579"/>
      <c r="F60" s="580"/>
      <c r="G60" s="580"/>
      <c r="H60" s="580"/>
      <c r="I60" s="580"/>
      <c r="J60" s="580"/>
      <c r="L60" s="402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</row>
    <row r="61" ht="12.75" customHeight="1">
      <c r="C61" s="578"/>
      <c r="D61" s="579"/>
      <c r="E61" s="579"/>
      <c r="F61" s="580"/>
      <c r="G61" s="580"/>
      <c r="H61" s="580"/>
      <c r="I61" s="580"/>
      <c r="J61" s="580"/>
      <c r="L61" s="402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</row>
    <row r="62" ht="12.75" customHeight="1">
      <c r="C62" s="578"/>
      <c r="D62" s="579"/>
      <c r="E62" s="579"/>
      <c r="F62" s="580"/>
      <c r="G62" s="580"/>
      <c r="H62" s="580"/>
      <c r="I62" s="580"/>
      <c r="J62" s="580"/>
      <c r="L62" s="402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</row>
    <row r="63" ht="12.75" customHeight="1">
      <c r="C63" s="578"/>
      <c r="D63" s="579"/>
      <c r="E63" s="579"/>
      <c r="F63" s="579"/>
      <c r="G63" s="579"/>
      <c r="H63" s="579"/>
      <c r="I63" s="579"/>
      <c r="J63" s="579"/>
      <c r="L63" s="402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</row>
    <row r="64" ht="12.75" customHeight="1">
      <c r="C64" s="578"/>
      <c r="D64" s="579"/>
      <c r="E64" s="579"/>
      <c r="F64" s="580"/>
      <c r="G64" s="580"/>
      <c r="H64" s="580"/>
      <c r="I64" s="580"/>
      <c r="J64" s="580"/>
      <c r="L64" s="402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</row>
    <row r="65" ht="12.75" customHeight="1">
      <c r="C65" s="578"/>
      <c r="D65" s="579"/>
      <c r="E65" s="579"/>
      <c r="F65" s="580"/>
      <c r="G65" s="580"/>
      <c r="H65" s="580"/>
      <c r="I65" s="580"/>
      <c r="J65" s="580"/>
      <c r="L65" s="402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</row>
    <row r="66" ht="12.75" customHeight="1">
      <c r="C66" s="452"/>
      <c r="L66" s="402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</row>
    <row r="67" ht="12.75" customHeight="1">
      <c r="C67" s="452"/>
      <c r="L67" s="402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</row>
    <row r="68" ht="12.75" customHeight="1">
      <c r="C68" s="452"/>
      <c r="L68" s="402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</row>
    <row r="69" ht="12.75" customHeight="1">
      <c r="C69" s="452"/>
      <c r="D69" s="581"/>
      <c r="E69" s="581"/>
      <c r="G69" s="581"/>
      <c r="H69" s="582"/>
      <c r="L69" s="402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</row>
    <row r="70" ht="12.75" customHeight="1">
      <c r="C70" s="583"/>
      <c r="D70" s="581"/>
      <c r="E70" s="581"/>
      <c r="G70" s="581"/>
      <c r="H70" s="582"/>
      <c r="I70" s="582"/>
      <c r="L70" s="402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</row>
    <row r="71" ht="12.75" customHeight="1">
      <c r="C71" s="583"/>
      <c r="D71" s="581"/>
      <c r="E71" s="581"/>
      <c r="G71" s="581"/>
      <c r="H71" s="582"/>
      <c r="I71" s="582"/>
      <c r="L71" s="402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</row>
    <row r="72" ht="12.75" customHeight="1">
      <c r="C72" s="584"/>
      <c r="L72" s="402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</row>
    <row r="73" ht="12.75" customHeight="1">
      <c r="C73" s="583"/>
      <c r="D73" s="581"/>
      <c r="E73" s="581"/>
      <c r="G73" s="581"/>
      <c r="H73" s="582"/>
      <c r="L73" s="402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</row>
    <row r="74" ht="12.75" customHeight="1">
      <c r="C74" s="585"/>
      <c r="D74" s="581"/>
      <c r="E74" s="581"/>
      <c r="G74" s="581"/>
      <c r="H74" s="582"/>
      <c r="I74" s="582"/>
      <c r="L74" s="402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</row>
    <row r="75" ht="12.75" customHeight="1">
      <c r="C75" s="586"/>
      <c r="D75" s="581"/>
      <c r="E75" s="581"/>
      <c r="G75" s="581"/>
      <c r="H75" s="582"/>
      <c r="I75" s="582"/>
      <c r="L75" s="402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</row>
    <row r="76" ht="12.75" customHeight="1">
      <c r="C76" s="587"/>
      <c r="L76" s="402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</row>
    <row r="77" ht="12.75" customHeight="1">
      <c r="C77" s="583"/>
      <c r="D77" s="581"/>
      <c r="E77" s="581"/>
      <c r="G77" s="581"/>
      <c r="H77" s="582"/>
      <c r="L77" s="402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</row>
    <row r="78" ht="12.75" customHeight="1">
      <c r="C78" s="583"/>
      <c r="D78" s="581"/>
      <c r="E78" s="581"/>
      <c r="G78" s="581"/>
      <c r="H78" s="582"/>
      <c r="I78" s="582"/>
      <c r="L78" s="402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</row>
    <row r="79" ht="12.75" customHeight="1">
      <c r="C79" s="583"/>
      <c r="D79" s="581"/>
      <c r="E79" s="581"/>
      <c r="G79" s="581"/>
      <c r="H79" s="582"/>
      <c r="I79" s="582"/>
      <c r="L79" s="402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</row>
    <row r="80" ht="12.75" customHeight="1">
      <c r="C80" s="583"/>
      <c r="L80" s="402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</row>
    <row r="81" ht="12.75" customHeight="1">
      <c r="C81" s="583"/>
      <c r="D81" s="581"/>
      <c r="E81" s="581"/>
      <c r="G81" s="581"/>
      <c r="H81" s="582"/>
      <c r="L81" s="402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</row>
    <row r="82" ht="12.75" customHeight="1">
      <c r="C82" s="583"/>
      <c r="D82" s="581"/>
      <c r="E82" s="581"/>
      <c r="G82" s="581"/>
      <c r="H82" s="582"/>
      <c r="I82" s="582"/>
      <c r="L82" s="402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</row>
    <row r="83" ht="12.75" customHeight="1">
      <c r="C83" s="583"/>
      <c r="D83" s="581"/>
      <c r="E83" s="581"/>
      <c r="G83" s="581"/>
      <c r="H83" s="582"/>
      <c r="I83" s="582"/>
      <c r="L83" s="402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</row>
    <row r="84" ht="12.75" customHeight="1">
      <c r="C84" s="583"/>
      <c r="L84" s="402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</row>
    <row r="85" ht="12.75" customHeight="1">
      <c r="C85" s="583"/>
      <c r="I85" s="582"/>
      <c r="L85" s="402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</row>
    <row r="86" ht="12.75" customHeight="1">
      <c r="C86" s="588"/>
      <c r="I86" s="582"/>
      <c r="L86" s="402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</row>
    <row r="87" ht="12.75" customHeight="1">
      <c r="C87" s="588"/>
      <c r="L87" s="402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</row>
    <row r="88" ht="12.75" customHeight="1">
      <c r="C88" s="583"/>
      <c r="L88" s="402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</row>
    <row r="89" ht="12.75" customHeight="1">
      <c r="C89" s="583"/>
      <c r="L89" s="402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</row>
    <row r="90" ht="12.75" customHeight="1">
      <c r="C90" s="588"/>
      <c r="L90" s="402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</row>
    <row r="91" ht="12.75" customHeight="1">
      <c r="C91" s="583"/>
      <c r="L91" s="402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</row>
    <row r="92" ht="12.75" customHeight="1">
      <c r="C92" s="586"/>
      <c r="L92" s="402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</row>
    <row r="93" ht="12.75" customHeight="1">
      <c r="C93" s="588"/>
      <c r="L93" s="402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</row>
    <row r="94" ht="12.75" customHeight="1">
      <c r="C94" s="583"/>
      <c r="L94" s="402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</row>
    <row r="95" ht="12.75" customHeight="1">
      <c r="C95" s="583"/>
      <c r="L95" s="402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</row>
    <row r="96" ht="12.75" customHeight="1">
      <c r="C96" s="583"/>
      <c r="L96" s="402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</row>
    <row r="97" ht="12.75" customHeight="1">
      <c r="C97" s="588"/>
      <c r="L97" s="402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</row>
    <row r="98" ht="12.75" customHeight="1">
      <c r="C98" s="583"/>
      <c r="L98" s="402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</row>
    <row r="99" ht="12.75" customHeight="1">
      <c r="C99" s="588"/>
      <c r="L99" s="402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</row>
    <row r="100" ht="12.75" customHeight="1">
      <c r="C100" s="452"/>
      <c r="L100" s="402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</row>
    <row r="101" ht="12.75" customHeight="1">
      <c r="C101" s="452"/>
      <c r="L101" s="402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</row>
    <row r="102" ht="12.75" customHeight="1">
      <c r="C102" s="452"/>
      <c r="L102" s="402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</row>
    <row r="103" ht="12.75" customHeight="1">
      <c r="C103" s="452"/>
      <c r="L103" s="402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</row>
    <row r="104" ht="12.75" customHeight="1">
      <c r="C104" s="452"/>
      <c r="L104" s="402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</row>
    <row r="105" ht="12.75" customHeight="1">
      <c r="C105" s="452"/>
      <c r="L105" s="402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</row>
    <row r="106" ht="12.75" customHeight="1">
      <c r="C106" s="452"/>
      <c r="L106" s="402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</row>
    <row r="107" ht="12.75" customHeight="1">
      <c r="C107" s="452"/>
      <c r="L107" s="402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</row>
    <row r="108" ht="12.75" customHeight="1">
      <c r="C108" s="452"/>
      <c r="L108" s="402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</row>
    <row r="109" ht="12.75" customHeight="1">
      <c r="C109" s="452"/>
      <c r="L109" s="402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</row>
    <row r="110" ht="12.75" customHeight="1">
      <c r="C110" s="452"/>
      <c r="L110" s="402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</row>
    <row r="111" ht="12.75" customHeight="1">
      <c r="C111" s="452"/>
      <c r="L111" s="402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</row>
    <row r="112" ht="12.75" customHeight="1">
      <c r="C112" s="452"/>
      <c r="L112" s="402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</row>
    <row r="113" ht="12.75" customHeight="1">
      <c r="C113" s="452"/>
      <c r="L113" s="402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</row>
    <row r="114" ht="12.75" customHeight="1">
      <c r="C114" s="452"/>
      <c r="L114" s="402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</row>
    <row r="115" ht="12.75" customHeight="1">
      <c r="C115" s="452"/>
      <c r="L115" s="402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</row>
    <row r="116" ht="12.75" customHeight="1">
      <c r="C116" s="452"/>
      <c r="L116" s="402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</row>
    <row r="117" ht="12.75" customHeight="1">
      <c r="C117" s="452"/>
      <c r="L117" s="402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</row>
    <row r="118" ht="12.75" customHeight="1">
      <c r="C118" s="452"/>
      <c r="L118" s="402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</row>
    <row r="119" ht="12.75" customHeight="1">
      <c r="C119" s="452"/>
      <c r="L119" s="402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</row>
    <row r="120" ht="12.75" customHeight="1">
      <c r="C120" s="452"/>
      <c r="L120" s="402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</row>
    <row r="121" ht="12.75" customHeight="1">
      <c r="C121" s="452"/>
      <c r="L121" s="402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</row>
    <row r="122" ht="12.75" customHeight="1">
      <c r="C122" s="452"/>
      <c r="L122" s="402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</row>
    <row r="123" ht="12.75" customHeight="1">
      <c r="C123" s="452"/>
      <c r="L123" s="402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</row>
    <row r="124" ht="12.75" customHeight="1">
      <c r="C124" s="452"/>
      <c r="L124" s="402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</row>
    <row r="125" ht="12.75" customHeight="1">
      <c r="C125" s="452"/>
      <c r="L125" s="402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</row>
    <row r="126" ht="12.75" customHeight="1">
      <c r="C126" s="452"/>
      <c r="L126" s="402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</row>
    <row r="127" ht="12.75" customHeight="1">
      <c r="C127" s="452"/>
      <c r="L127" s="402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</row>
    <row r="128" ht="12.75" customHeight="1">
      <c r="C128" s="452"/>
      <c r="L128" s="402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</row>
    <row r="129" ht="12.75" customHeight="1">
      <c r="C129" s="452"/>
      <c r="L129" s="402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</row>
    <row r="130" ht="12.75" customHeight="1">
      <c r="C130" s="452"/>
      <c r="L130" s="402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</row>
    <row r="131" ht="12.75" customHeight="1">
      <c r="C131" s="452"/>
      <c r="L131" s="402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</row>
    <row r="132" ht="12.75" customHeight="1">
      <c r="C132" s="452"/>
      <c r="L132" s="402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</row>
    <row r="133" ht="12.75" customHeight="1">
      <c r="C133" s="452"/>
      <c r="L133" s="402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</row>
    <row r="134" ht="12.75" customHeight="1">
      <c r="C134" s="452"/>
      <c r="L134" s="402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</row>
    <row r="135" ht="12.75" customHeight="1">
      <c r="C135" s="452"/>
      <c r="L135" s="402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</row>
    <row r="136" ht="12.75" customHeight="1">
      <c r="C136" s="452"/>
      <c r="L136" s="402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</row>
    <row r="137" ht="12.75" customHeight="1">
      <c r="C137" s="452"/>
      <c r="L137" s="402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</row>
    <row r="138" ht="12.75" customHeight="1">
      <c r="C138" s="452"/>
      <c r="L138" s="402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</row>
    <row r="139" ht="12.75" customHeight="1">
      <c r="C139" s="452"/>
      <c r="L139" s="402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</row>
    <row r="140" ht="12.75" customHeight="1">
      <c r="C140" s="452"/>
      <c r="L140" s="402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</row>
    <row r="141" ht="12.75" customHeight="1">
      <c r="C141" s="452"/>
      <c r="L141" s="402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</row>
    <row r="142" ht="12.75" customHeight="1">
      <c r="C142" s="452"/>
      <c r="L142" s="402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</row>
    <row r="143" ht="12.75" customHeight="1">
      <c r="C143" s="452"/>
      <c r="L143" s="402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</row>
    <row r="144" ht="12.75" customHeight="1">
      <c r="C144" s="452"/>
      <c r="L144" s="402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</row>
    <row r="145" ht="12.75" customHeight="1">
      <c r="C145" s="452"/>
      <c r="L145" s="402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</row>
    <row r="146" ht="12.75" customHeight="1">
      <c r="C146" s="452"/>
      <c r="L146" s="402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</row>
    <row r="147" ht="12.75" customHeight="1">
      <c r="C147" s="452"/>
      <c r="L147" s="402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</row>
    <row r="148" ht="12.75" customHeight="1">
      <c r="C148" s="452"/>
      <c r="L148" s="402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</row>
    <row r="149" ht="12.75" customHeight="1">
      <c r="C149" s="452"/>
      <c r="L149" s="402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</row>
    <row r="150" ht="12.75" customHeight="1">
      <c r="C150" s="452"/>
      <c r="L150" s="402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</row>
    <row r="151" ht="12.75" customHeight="1">
      <c r="C151" s="452"/>
      <c r="L151" s="402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</row>
    <row r="152" ht="12.75" customHeight="1">
      <c r="C152" s="452"/>
      <c r="L152" s="402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</row>
    <row r="153" ht="12.75" customHeight="1">
      <c r="C153" s="452"/>
      <c r="L153" s="402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</row>
    <row r="154" ht="12.75" customHeight="1">
      <c r="C154" s="452"/>
      <c r="L154" s="402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</row>
    <row r="155" ht="12.75" customHeight="1">
      <c r="C155" s="452"/>
      <c r="L155" s="402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</row>
    <row r="156" ht="12.75" customHeight="1">
      <c r="C156" s="452"/>
      <c r="L156" s="402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</row>
    <row r="157" ht="12.75" customHeight="1">
      <c r="C157" s="452"/>
      <c r="L157" s="402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</row>
    <row r="158" ht="12.75" customHeight="1">
      <c r="C158" s="452"/>
      <c r="L158" s="402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</row>
    <row r="159" ht="12.75" customHeight="1">
      <c r="C159" s="452"/>
      <c r="L159" s="402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</row>
    <row r="160" ht="12.75" customHeight="1">
      <c r="C160" s="452"/>
      <c r="L160" s="402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</row>
    <row r="161" ht="12.75" customHeight="1">
      <c r="C161" s="452"/>
      <c r="L161" s="402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</row>
    <row r="162" ht="12.75" customHeight="1">
      <c r="C162" s="452"/>
      <c r="L162" s="402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</row>
    <row r="163" ht="12.75" customHeight="1">
      <c r="C163" s="452"/>
      <c r="L163" s="402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</row>
    <row r="164" ht="12.75" customHeight="1">
      <c r="C164" s="452"/>
      <c r="L164" s="402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</row>
    <row r="165" ht="12.75" customHeight="1">
      <c r="C165" s="452"/>
      <c r="L165" s="402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</row>
    <row r="166" ht="12.75" customHeight="1">
      <c r="C166" s="452"/>
      <c r="L166" s="402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</row>
    <row r="167" ht="12.75" customHeight="1">
      <c r="C167" s="452"/>
      <c r="L167" s="402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</row>
    <row r="168" ht="12.75" customHeight="1">
      <c r="C168" s="452"/>
      <c r="L168" s="402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</row>
    <row r="169" ht="12.75" customHeight="1">
      <c r="C169" s="452"/>
      <c r="L169" s="402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</row>
    <row r="170" ht="12.75" customHeight="1">
      <c r="C170" s="452"/>
      <c r="L170" s="402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</row>
    <row r="171" ht="12.75" customHeight="1">
      <c r="C171" s="452"/>
      <c r="L171" s="402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</row>
    <row r="172" ht="12.75" customHeight="1">
      <c r="C172" s="452"/>
      <c r="L172" s="402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</row>
    <row r="173" ht="12.75" customHeight="1">
      <c r="C173" s="452"/>
      <c r="L173" s="402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</row>
    <row r="174" ht="12.75" customHeight="1">
      <c r="C174" s="452"/>
      <c r="L174" s="402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</row>
    <row r="175" ht="12.75" customHeight="1">
      <c r="C175" s="452"/>
      <c r="L175" s="402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</row>
    <row r="176" ht="12.75" customHeight="1">
      <c r="C176" s="452"/>
      <c r="L176" s="402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</row>
    <row r="177" ht="12.75" customHeight="1">
      <c r="C177" s="452"/>
      <c r="L177" s="402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</row>
    <row r="178" ht="12.75" customHeight="1">
      <c r="C178" s="452"/>
      <c r="L178" s="402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</row>
    <row r="179" ht="12.75" customHeight="1">
      <c r="C179" s="452"/>
      <c r="L179" s="402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</row>
    <row r="180" ht="12.75" customHeight="1">
      <c r="C180" s="452"/>
      <c r="L180" s="402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</row>
    <row r="181" ht="12.75" customHeight="1">
      <c r="C181" s="452"/>
      <c r="L181" s="402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</row>
    <row r="182" ht="12.75" customHeight="1">
      <c r="C182" s="452"/>
      <c r="L182" s="402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</row>
    <row r="183" ht="12.75" customHeight="1">
      <c r="C183" s="452"/>
      <c r="L183" s="402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</row>
    <row r="184" ht="12.75" customHeight="1">
      <c r="C184" s="452"/>
      <c r="L184" s="402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</row>
    <row r="185" ht="12.75" customHeight="1">
      <c r="C185" s="452"/>
      <c r="L185" s="402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</row>
    <row r="186" ht="12.75" customHeight="1">
      <c r="C186" s="452"/>
      <c r="L186" s="402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</row>
    <row r="187" ht="12.75" customHeight="1">
      <c r="C187" s="452"/>
      <c r="L187" s="402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</row>
    <row r="188" ht="12.75" customHeight="1">
      <c r="C188" s="452"/>
      <c r="L188" s="402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</row>
    <row r="189" ht="12.75" customHeight="1">
      <c r="C189" s="452"/>
      <c r="L189" s="402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</row>
    <row r="190" ht="12.75" customHeight="1">
      <c r="C190" s="452"/>
      <c r="L190" s="402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</row>
    <row r="191" ht="12.75" customHeight="1">
      <c r="C191" s="452"/>
      <c r="L191" s="402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</row>
    <row r="192" ht="12.75" customHeight="1">
      <c r="C192" s="452"/>
      <c r="L192" s="402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</row>
    <row r="193" ht="12.75" customHeight="1">
      <c r="C193" s="452"/>
      <c r="L193" s="402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</row>
    <row r="194" ht="12.75" customHeight="1">
      <c r="C194" s="452"/>
      <c r="L194" s="402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</row>
    <row r="195" ht="12.75" customHeight="1">
      <c r="C195" s="452"/>
      <c r="L195" s="402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</row>
    <row r="196" ht="12.75" customHeight="1">
      <c r="C196" s="452"/>
      <c r="L196" s="402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</row>
    <row r="197" ht="12.75" customHeight="1">
      <c r="C197" s="452"/>
      <c r="L197" s="402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</row>
    <row r="198" ht="12.75" customHeight="1">
      <c r="C198" s="452"/>
      <c r="L198" s="402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</row>
    <row r="199" ht="12.75" customHeight="1">
      <c r="C199" s="452"/>
      <c r="L199" s="402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</row>
    <row r="200" ht="12.75" customHeight="1">
      <c r="C200" s="452"/>
      <c r="L200" s="402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</row>
    <row r="201" ht="12.75" customHeight="1">
      <c r="C201" s="452"/>
      <c r="L201" s="402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</row>
    <row r="202" ht="12.75" customHeight="1">
      <c r="C202" s="452"/>
      <c r="L202" s="402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</row>
    <row r="203" ht="12.75" customHeight="1">
      <c r="C203" s="452"/>
      <c r="L203" s="402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</row>
    <row r="204" ht="12.75" customHeight="1">
      <c r="C204" s="452"/>
      <c r="L204" s="402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</row>
    <row r="205" ht="12.75" customHeight="1">
      <c r="C205" s="452"/>
      <c r="L205" s="402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</row>
    <row r="206" ht="12.75" customHeight="1">
      <c r="C206" s="452"/>
      <c r="L206" s="402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</row>
    <row r="207" ht="12.75" customHeight="1">
      <c r="C207" s="452"/>
      <c r="L207" s="402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</row>
    <row r="208" ht="12.75" customHeight="1">
      <c r="C208" s="452"/>
      <c r="L208" s="402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</row>
    <row r="209" ht="12.75" customHeight="1">
      <c r="C209" s="452"/>
      <c r="L209" s="402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</row>
    <row r="210" ht="12.75" customHeight="1">
      <c r="C210" s="452"/>
      <c r="L210" s="402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</row>
    <row r="211" ht="12.75" customHeight="1">
      <c r="C211" s="452"/>
      <c r="L211" s="402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</row>
    <row r="212" ht="12.75" customHeight="1">
      <c r="C212" s="452"/>
      <c r="L212" s="402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</row>
    <row r="213" ht="12.75" customHeight="1">
      <c r="C213" s="452"/>
      <c r="L213" s="402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</row>
    <row r="214" ht="12.75" customHeight="1">
      <c r="C214" s="452"/>
      <c r="L214" s="402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</row>
    <row r="215" ht="12.75" customHeight="1">
      <c r="C215" s="452"/>
      <c r="L215" s="402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</row>
    <row r="216" ht="12.75" customHeight="1">
      <c r="C216" s="452"/>
      <c r="L216" s="402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</row>
    <row r="217" ht="12.75" customHeight="1">
      <c r="C217" s="452"/>
      <c r="L217" s="402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</row>
    <row r="218" ht="12.75" customHeight="1">
      <c r="C218" s="452"/>
      <c r="L218" s="402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</row>
    <row r="219" ht="12.75" customHeight="1">
      <c r="C219" s="452"/>
      <c r="L219" s="402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</row>
    <row r="220" ht="12.75" customHeight="1">
      <c r="C220" s="452"/>
      <c r="L220" s="402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</row>
    <row r="221" ht="12.75" customHeight="1">
      <c r="C221" s="452"/>
      <c r="L221" s="402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</row>
    <row r="222" ht="12.75" customHeight="1">
      <c r="C222" s="452"/>
      <c r="L222" s="402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</row>
    <row r="223" ht="12.75" customHeight="1">
      <c r="C223" s="452"/>
      <c r="L223" s="402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</row>
    <row r="224" ht="12.75" customHeight="1">
      <c r="C224" s="452"/>
      <c r="L224" s="402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</row>
    <row r="225" ht="12.75" customHeight="1">
      <c r="C225" s="452"/>
      <c r="L225" s="402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</row>
    <row r="226" ht="12.75" customHeight="1">
      <c r="C226" s="452"/>
      <c r="L226" s="402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</row>
    <row r="227" ht="12.75" customHeight="1">
      <c r="C227" s="452"/>
      <c r="L227" s="402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</row>
    <row r="228" ht="12.75" customHeight="1">
      <c r="C228" s="452"/>
      <c r="L228" s="402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</row>
    <row r="229" ht="12.75" customHeight="1">
      <c r="C229" s="452"/>
      <c r="L229" s="402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</row>
    <row r="230" ht="12.75" customHeight="1">
      <c r="C230" s="452"/>
      <c r="L230" s="402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</row>
    <row r="231" ht="12.75" customHeight="1">
      <c r="C231" s="452"/>
      <c r="L231" s="402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</row>
    <row r="232" ht="12.75" customHeight="1">
      <c r="C232" s="452"/>
      <c r="L232" s="402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</row>
    <row r="233" ht="12.75" customHeight="1">
      <c r="C233" s="452"/>
      <c r="L233" s="402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</row>
    <row r="234" ht="12.75" customHeight="1">
      <c r="C234" s="452"/>
      <c r="L234" s="402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</row>
    <row r="235" ht="12.75" customHeight="1">
      <c r="C235" s="452"/>
      <c r="L235" s="402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</row>
    <row r="236" ht="12.75" customHeight="1">
      <c r="C236" s="452"/>
      <c r="L236" s="402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</row>
    <row r="237" ht="12.75" customHeight="1">
      <c r="C237" s="452"/>
      <c r="L237" s="402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</row>
    <row r="238" ht="12.75" customHeight="1">
      <c r="C238" s="452"/>
      <c r="L238" s="402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</row>
    <row r="239" ht="12.75" customHeight="1">
      <c r="C239" s="452"/>
      <c r="L239" s="402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</row>
    <row r="240" ht="12.75" customHeight="1">
      <c r="C240" s="452"/>
      <c r="L240" s="402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</row>
    <row r="241" ht="12.75" customHeight="1">
      <c r="C241" s="452"/>
      <c r="L241" s="402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</row>
    <row r="242" ht="12.75" customHeight="1">
      <c r="C242" s="452"/>
      <c r="L242" s="402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</row>
    <row r="243" ht="12.75" customHeight="1">
      <c r="C243" s="452"/>
      <c r="L243" s="402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</row>
    <row r="244" ht="12.75" customHeight="1">
      <c r="C244" s="452"/>
      <c r="L244" s="402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</row>
    <row r="245" ht="12.75" customHeight="1">
      <c r="C245" s="452"/>
      <c r="L245" s="402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</row>
    <row r="246" ht="12.75" customHeight="1">
      <c r="C246" s="452"/>
      <c r="L246" s="402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</row>
    <row r="247" ht="12.75" customHeight="1">
      <c r="C247" s="452"/>
      <c r="L247" s="402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</row>
    <row r="248" ht="12.75" customHeight="1">
      <c r="C248" s="452"/>
      <c r="L248" s="402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</row>
    <row r="249" ht="12.75" customHeight="1">
      <c r="C249" s="452"/>
      <c r="L249" s="402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</row>
    <row r="250" ht="12.75" customHeight="1">
      <c r="C250" s="452"/>
      <c r="L250" s="402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</row>
    <row r="251" ht="12.75" customHeight="1">
      <c r="C251" s="452"/>
      <c r="L251" s="402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</row>
    <row r="252" ht="12.75" customHeight="1">
      <c r="C252" s="452"/>
      <c r="L252" s="402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</row>
    <row r="253" ht="12.75" customHeight="1">
      <c r="C253" s="452"/>
      <c r="L253" s="402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</row>
    <row r="254" ht="12.75" customHeight="1">
      <c r="C254" s="452"/>
      <c r="L254" s="402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</row>
    <row r="255" ht="12.75" customHeight="1">
      <c r="C255" s="452"/>
      <c r="L255" s="402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</row>
    <row r="256" ht="12.75" customHeight="1">
      <c r="C256" s="452"/>
      <c r="L256" s="402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</row>
    <row r="257" ht="12.75" customHeight="1">
      <c r="C257" s="452"/>
      <c r="L257" s="402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</row>
    <row r="258" ht="12.75" customHeight="1">
      <c r="C258" s="452"/>
      <c r="L258" s="402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</row>
    <row r="259" ht="12.75" customHeight="1">
      <c r="C259" s="452"/>
      <c r="L259" s="402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</row>
    <row r="260" ht="12.75" customHeight="1">
      <c r="C260" s="452"/>
      <c r="L260" s="402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</row>
    <row r="261" ht="12.75" customHeight="1">
      <c r="C261" s="452"/>
      <c r="L261" s="402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</row>
    <row r="262" ht="12.75" customHeight="1">
      <c r="C262" s="452"/>
      <c r="L262" s="402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</row>
    <row r="263" ht="12.75" customHeight="1">
      <c r="C263" s="452"/>
      <c r="L263" s="402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</row>
    <row r="264" ht="12.75" customHeight="1">
      <c r="C264" s="452"/>
      <c r="L264" s="402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</row>
    <row r="265" ht="12.75" customHeight="1">
      <c r="C265" s="452"/>
      <c r="L265" s="402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</row>
    <row r="266" ht="12.75" customHeight="1">
      <c r="C266" s="452"/>
      <c r="L266" s="402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</row>
    <row r="267" ht="12.75" customHeight="1">
      <c r="C267" s="452"/>
      <c r="L267" s="402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</row>
    <row r="268" ht="12.75" customHeight="1">
      <c r="C268" s="452"/>
      <c r="L268" s="402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</row>
    <row r="269" ht="12.75" customHeight="1">
      <c r="C269" s="452"/>
      <c r="L269" s="402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</row>
    <row r="270" ht="12.75" customHeight="1">
      <c r="C270" s="452"/>
      <c r="L270" s="402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</row>
    <row r="271" ht="12.75" customHeight="1">
      <c r="C271" s="452"/>
      <c r="L271" s="402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</row>
    <row r="272" ht="12.75" customHeight="1">
      <c r="C272" s="452"/>
      <c r="L272" s="402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</row>
    <row r="273" ht="12.75" customHeight="1">
      <c r="C273" s="452"/>
      <c r="L273" s="402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</row>
    <row r="274" ht="12.75" customHeight="1">
      <c r="C274" s="452"/>
      <c r="L274" s="402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</row>
    <row r="275" ht="12.75" customHeight="1">
      <c r="C275" s="452"/>
      <c r="L275" s="402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</row>
    <row r="276" ht="12.75" customHeight="1">
      <c r="C276" s="452"/>
      <c r="L276" s="402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</row>
    <row r="277" ht="12.75" customHeight="1">
      <c r="C277" s="452"/>
      <c r="L277" s="402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</row>
    <row r="278" ht="12.75" customHeight="1">
      <c r="C278" s="452"/>
      <c r="L278" s="402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</row>
    <row r="279" ht="12.75" customHeight="1">
      <c r="C279" s="452"/>
      <c r="L279" s="402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</row>
    <row r="280" ht="12.75" customHeight="1">
      <c r="C280" s="452"/>
      <c r="L280" s="402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</row>
    <row r="281" ht="12.75" customHeight="1">
      <c r="C281" s="452"/>
      <c r="L281" s="402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</row>
    <row r="282" ht="12.75" customHeight="1">
      <c r="C282" s="452"/>
      <c r="L282" s="402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</row>
    <row r="283" ht="12.75" customHeight="1">
      <c r="C283" s="452"/>
      <c r="L283" s="402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</row>
    <row r="284" ht="12.75" customHeight="1">
      <c r="C284" s="452"/>
      <c r="L284" s="402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</row>
    <row r="285" ht="12.75" customHeight="1">
      <c r="C285" s="452"/>
      <c r="L285" s="402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</row>
    <row r="286" ht="12.75" customHeight="1">
      <c r="C286" s="452"/>
      <c r="L286" s="402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</row>
    <row r="287" ht="12.75" customHeight="1">
      <c r="C287" s="452"/>
      <c r="L287" s="402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</row>
    <row r="288" ht="12.75" customHeight="1">
      <c r="C288" s="452"/>
      <c r="L288" s="402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</row>
    <row r="289" ht="12.75" customHeight="1">
      <c r="C289" s="452"/>
      <c r="L289" s="402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</row>
    <row r="290" ht="12.75" customHeight="1">
      <c r="C290" s="452"/>
      <c r="L290" s="402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</row>
    <row r="291" ht="12.75" customHeight="1">
      <c r="C291" s="452"/>
      <c r="L291" s="402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</row>
    <row r="292" ht="12.75" customHeight="1">
      <c r="C292" s="452"/>
      <c r="L292" s="402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</row>
    <row r="293" ht="12.75" customHeight="1">
      <c r="C293" s="452"/>
      <c r="L293" s="402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</row>
    <row r="294" ht="12.75" customHeight="1">
      <c r="C294" s="452"/>
      <c r="L294" s="402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</row>
    <row r="295" ht="12.75" customHeight="1">
      <c r="C295" s="452"/>
      <c r="L295" s="402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</row>
    <row r="296" ht="12.75" customHeight="1">
      <c r="C296" s="452"/>
      <c r="L296" s="402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</row>
    <row r="297" ht="12.75" customHeight="1">
      <c r="C297" s="452"/>
      <c r="L297" s="402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</row>
    <row r="298" ht="12.75" customHeight="1">
      <c r="C298" s="452"/>
      <c r="L298" s="402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</row>
    <row r="299" ht="12.75" customHeight="1">
      <c r="C299" s="452"/>
      <c r="L299" s="402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</row>
    <row r="300" ht="12.75" customHeight="1">
      <c r="C300" s="452"/>
      <c r="L300" s="402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</row>
    <row r="301" ht="12.75" customHeight="1">
      <c r="C301" s="452"/>
      <c r="L301" s="402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</row>
    <row r="302" ht="12.75" customHeight="1">
      <c r="C302" s="452"/>
      <c r="L302" s="402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</row>
    <row r="303" ht="12.75" customHeight="1">
      <c r="C303" s="452"/>
      <c r="L303" s="402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</row>
    <row r="304" ht="12.75" customHeight="1">
      <c r="C304" s="452"/>
      <c r="L304" s="402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</row>
    <row r="305" ht="12.75" customHeight="1">
      <c r="C305" s="452"/>
      <c r="L305" s="402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</row>
    <row r="306" ht="12.75" customHeight="1">
      <c r="C306" s="452"/>
      <c r="L306" s="402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</row>
    <row r="307" ht="12.75" customHeight="1">
      <c r="C307" s="452"/>
      <c r="L307" s="402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</row>
    <row r="308" ht="12.75" customHeight="1">
      <c r="C308" s="452"/>
      <c r="L308" s="402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</row>
    <row r="309" ht="12.75" customHeight="1">
      <c r="C309" s="452"/>
      <c r="L309" s="402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</row>
    <row r="310" ht="12.75" customHeight="1">
      <c r="C310" s="452"/>
      <c r="L310" s="402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</row>
    <row r="311" ht="12.75" customHeight="1">
      <c r="C311" s="452"/>
      <c r="L311" s="402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</row>
    <row r="312" ht="12.75" customHeight="1">
      <c r="C312" s="452"/>
      <c r="L312" s="402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</row>
    <row r="313" ht="12.75" customHeight="1">
      <c r="C313" s="452"/>
      <c r="L313" s="402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</row>
    <row r="314" ht="12.75" customHeight="1">
      <c r="C314" s="452"/>
      <c r="L314" s="402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</row>
    <row r="315" ht="12.75" customHeight="1">
      <c r="C315" s="452"/>
      <c r="L315" s="402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</row>
    <row r="316" ht="12.75" customHeight="1">
      <c r="C316" s="452"/>
      <c r="L316" s="402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</row>
    <row r="317" ht="12.75" customHeight="1">
      <c r="C317" s="452"/>
      <c r="L317" s="402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</row>
    <row r="318" ht="12.75" customHeight="1">
      <c r="C318" s="452"/>
      <c r="L318" s="402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</row>
    <row r="319" ht="12.75" customHeight="1">
      <c r="C319" s="452"/>
      <c r="L319" s="402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</row>
    <row r="320" ht="12.75" customHeight="1">
      <c r="C320" s="452"/>
      <c r="L320" s="402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</row>
    <row r="321" ht="12.75" customHeight="1">
      <c r="C321" s="452"/>
      <c r="L321" s="402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</row>
    <row r="322" ht="12.75" customHeight="1">
      <c r="C322" s="452"/>
      <c r="L322" s="402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</row>
    <row r="323" ht="12.75" customHeight="1">
      <c r="C323" s="452"/>
      <c r="L323" s="402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</row>
    <row r="324" ht="12.75" customHeight="1">
      <c r="C324" s="452"/>
      <c r="L324" s="402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</row>
    <row r="325" ht="12.75" customHeight="1">
      <c r="C325" s="452"/>
      <c r="L325" s="402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</row>
    <row r="326" ht="12.75" customHeight="1">
      <c r="C326" s="452"/>
      <c r="L326" s="402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</row>
    <row r="327" ht="12.75" customHeight="1">
      <c r="C327" s="452"/>
      <c r="L327" s="402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</row>
    <row r="328" ht="12.75" customHeight="1">
      <c r="C328" s="452"/>
      <c r="L328" s="402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</row>
    <row r="329" ht="12.75" customHeight="1">
      <c r="C329" s="452"/>
      <c r="L329" s="402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</row>
    <row r="330" ht="12.75" customHeight="1">
      <c r="C330" s="452"/>
      <c r="L330" s="402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</row>
    <row r="331" ht="12.75" customHeight="1">
      <c r="C331" s="452"/>
      <c r="L331" s="402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</row>
    <row r="332" ht="12.75" customHeight="1">
      <c r="C332" s="452"/>
      <c r="L332" s="402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</row>
    <row r="333" ht="12.75" customHeight="1">
      <c r="C333" s="452"/>
      <c r="L333" s="402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</row>
    <row r="334" ht="12.75" customHeight="1">
      <c r="C334" s="452"/>
      <c r="L334" s="402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</row>
    <row r="335" ht="12.75" customHeight="1">
      <c r="C335" s="452"/>
      <c r="L335" s="402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</row>
    <row r="336" ht="12.75" customHeight="1">
      <c r="C336" s="452"/>
      <c r="L336" s="402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</row>
    <row r="337" ht="12.75" customHeight="1">
      <c r="C337" s="452"/>
      <c r="L337" s="402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</row>
    <row r="338" ht="12.75" customHeight="1">
      <c r="C338" s="452"/>
      <c r="L338" s="402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</row>
    <row r="339" ht="12.75" customHeight="1">
      <c r="C339" s="452"/>
      <c r="L339" s="402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</row>
    <row r="340" ht="12.75" customHeight="1">
      <c r="C340" s="452"/>
      <c r="L340" s="402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</row>
    <row r="341" ht="12.75" customHeight="1">
      <c r="C341" s="452"/>
      <c r="L341" s="402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</row>
    <row r="342" ht="12.75" customHeight="1">
      <c r="C342" s="452"/>
      <c r="L342" s="402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</row>
    <row r="343" ht="12.75" customHeight="1">
      <c r="C343" s="452"/>
      <c r="L343" s="402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</row>
    <row r="344" ht="12.75" customHeight="1">
      <c r="C344" s="452"/>
      <c r="L344" s="402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</row>
    <row r="345" ht="12.75" customHeight="1">
      <c r="C345" s="452"/>
      <c r="L345" s="402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</row>
    <row r="346" ht="12.75" customHeight="1">
      <c r="C346" s="452"/>
      <c r="L346" s="402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</row>
    <row r="347" ht="12.75" customHeight="1">
      <c r="C347" s="452"/>
      <c r="L347" s="402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</row>
    <row r="348" ht="12.75" customHeight="1">
      <c r="C348" s="452"/>
      <c r="L348" s="402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</row>
    <row r="349" ht="12.75" customHeight="1">
      <c r="C349" s="452"/>
      <c r="L349" s="402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</row>
    <row r="350" ht="12.75" customHeight="1">
      <c r="C350" s="452"/>
      <c r="L350" s="402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</row>
    <row r="351" ht="12.75" customHeight="1">
      <c r="C351" s="452"/>
      <c r="L351" s="402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</row>
    <row r="352" ht="12.75" customHeight="1">
      <c r="C352" s="452"/>
      <c r="L352" s="402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</row>
    <row r="353" ht="12.75" customHeight="1">
      <c r="C353" s="452"/>
      <c r="L353" s="402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</row>
    <row r="354" ht="12.75" customHeight="1">
      <c r="C354" s="452"/>
      <c r="L354" s="402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</row>
    <row r="355" ht="12.75" customHeight="1">
      <c r="C355" s="452"/>
      <c r="L355" s="402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</row>
    <row r="356" ht="12.75" customHeight="1">
      <c r="C356" s="452"/>
      <c r="L356" s="402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</row>
    <row r="357" ht="12.75" customHeight="1">
      <c r="C357" s="452"/>
      <c r="L357" s="402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</row>
    <row r="358" ht="12.75" customHeight="1">
      <c r="C358" s="452"/>
      <c r="L358" s="402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</row>
    <row r="359" ht="12.75" customHeight="1">
      <c r="C359" s="452"/>
      <c r="L359" s="402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</row>
    <row r="360" ht="12.75" customHeight="1">
      <c r="C360" s="452"/>
      <c r="L360" s="402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</row>
    <row r="361" ht="12.75" customHeight="1">
      <c r="C361" s="452"/>
      <c r="L361" s="402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</row>
    <row r="362" ht="12.75" customHeight="1">
      <c r="C362" s="452"/>
      <c r="L362" s="402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</row>
    <row r="363" ht="12.75" customHeight="1">
      <c r="C363" s="452"/>
      <c r="L363" s="402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</row>
    <row r="364" ht="12.75" customHeight="1">
      <c r="C364" s="452"/>
      <c r="L364" s="402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</row>
    <row r="365" ht="12.75" customHeight="1">
      <c r="C365" s="452"/>
      <c r="L365" s="402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</row>
    <row r="366" ht="12.75" customHeight="1">
      <c r="C366" s="452"/>
      <c r="L366" s="402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</row>
    <row r="367" ht="12.75" customHeight="1">
      <c r="C367" s="452"/>
      <c r="L367" s="402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</row>
    <row r="368" ht="12.75" customHeight="1">
      <c r="C368" s="452"/>
      <c r="L368" s="402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</row>
    <row r="369" ht="12.75" customHeight="1">
      <c r="C369" s="452"/>
      <c r="L369" s="402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</row>
    <row r="370" ht="12.75" customHeight="1">
      <c r="C370" s="452"/>
      <c r="L370" s="402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</row>
    <row r="371" ht="12.75" customHeight="1">
      <c r="C371" s="452"/>
      <c r="L371" s="402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</row>
    <row r="372" ht="12.75" customHeight="1">
      <c r="C372" s="452"/>
      <c r="L372" s="402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</row>
    <row r="373" ht="12.75" customHeight="1">
      <c r="C373" s="452"/>
      <c r="L373" s="402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</row>
    <row r="374" ht="12.75" customHeight="1">
      <c r="C374" s="452"/>
      <c r="L374" s="402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</row>
    <row r="375" ht="12.75" customHeight="1">
      <c r="C375" s="452"/>
      <c r="L375" s="402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</row>
    <row r="376" ht="12.75" customHeight="1">
      <c r="C376" s="452"/>
      <c r="L376" s="402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</row>
    <row r="377" ht="12.75" customHeight="1">
      <c r="C377" s="452"/>
      <c r="L377" s="402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</row>
    <row r="378" ht="12.75" customHeight="1">
      <c r="C378" s="452"/>
      <c r="L378" s="402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</row>
    <row r="379" ht="12.75" customHeight="1">
      <c r="C379" s="452"/>
      <c r="L379" s="402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</row>
    <row r="380" ht="12.75" customHeight="1">
      <c r="C380" s="452"/>
      <c r="L380" s="402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</row>
    <row r="381" ht="12.75" customHeight="1">
      <c r="C381" s="452"/>
      <c r="L381" s="402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</row>
    <row r="382" ht="12.75" customHeight="1">
      <c r="C382" s="452"/>
      <c r="L382" s="402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</row>
    <row r="383" ht="12.75" customHeight="1">
      <c r="C383" s="452"/>
      <c r="L383" s="402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</row>
    <row r="384" ht="12.75" customHeight="1">
      <c r="C384" s="452"/>
      <c r="L384" s="402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</row>
    <row r="385" ht="12.75" customHeight="1">
      <c r="C385" s="452"/>
      <c r="L385" s="402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</row>
    <row r="386" ht="12.75" customHeight="1">
      <c r="C386" s="452"/>
      <c r="L386" s="402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</row>
    <row r="387" ht="12.75" customHeight="1">
      <c r="C387" s="452"/>
      <c r="L387" s="402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</row>
    <row r="388" ht="12.75" customHeight="1">
      <c r="C388" s="452"/>
      <c r="L388" s="402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</row>
    <row r="389" ht="12.75" customHeight="1">
      <c r="C389" s="452"/>
      <c r="L389" s="402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</row>
    <row r="390" ht="12.75" customHeight="1">
      <c r="C390" s="452"/>
      <c r="L390" s="402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</row>
    <row r="391" ht="12.75" customHeight="1">
      <c r="C391" s="452"/>
      <c r="L391" s="402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</row>
    <row r="392" ht="12.75" customHeight="1">
      <c r="C392" s="452"/>
      <c r="L392" s="402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</row>
    <row r="393" ht="12.75" customHeight="1">
      <c r="C393" s="452"/>
      <c r="L393" s="402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</row>
    <row r="394" ht="12.75" customHeight="1">
      <c r="C394" s="452"/>
      <c r="L394" s="402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</row>
    <row r="395" ht="12.75" customHeight="1">
      <c r="C395" s="452"/>
      <c r="L395" s="402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</row>
    <row r="396" ht="12.75" customHeight="1">
      <c r="C396" s="452"/>
      <c r="L396" s="402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</row>
    <row r="397" ht="12.75" customHeight="1">
      <c r="C397" s="452"/>
      <c r="L397" s="402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</row>
    <row r="398" ht="12.75" customHeight="1">
      <c r="C398" s="452"/>
      <c r="L398" s="402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</row>
    <row r="399" ht="12.75" customHeight="1">
      <c r="C399" s="452"/>
      <c r="L399" s="402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</row>
    <row r="400" ht="12.75" customHeight="1">
      <c r="C400" s="452"/>
      <c r="L400" s="402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</row>
    <row r="401" ht="12.75" customHeight="1">
      <c r="C401" s="452"/>
      <c r="L401" s="402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</row>
    <row r="402" ht="12.75" customHeight="1">
      <c r="C402" s="452"/>
      <c r="L402" s="402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</row>
    <row r="403" ht="12.75" customHeight="1">
      <c r="C403" s="452"/>
      <c r="L403" s="402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</row>
    <row r="404" ht="12.75" customHeight="1">
      <c r="C404" s="452"/>
      <c r="L404" s="402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</row>
    <row r="405" ht="12.75" customHeight="1">
      <c r="C405" s="452"/>
      <c r="L405" s="402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</row>
    <row r="406" ht="12.75" customHeight="1">
      <c r="C406" s="452"/>
      <c r="L406" s="402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</row>
    <row r="407" ht="12.75" customHeight="1">
      <c r="C407" s="452"/>
      <c r="L407" s="402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</row>
    <row r="408" ht="12.75" customHeight="1">
      <c r="C408" s="452"/>
      <c r="L408" s="402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</row>
    <row r="409" ht="12.75" customHeight="1">
      <c r="C409" s="452"/>
      <c r="L409" s="402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</row>
    <row r="410" ht="12.75" customHeight="1">
      <c r="C410" s="452"/>
      <c r="L410" s="402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</row>
    <row r="411" ht="12.75" customHeight="1">
      <c r="C411" s="452"/>
      <c r="L411" s="402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</row>
    <row r="412" ht="12.75" customHeight="1">
      <c r="C412" s="452"/>
      <c r="L412" s="402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</row>
    <row r="413" ht="12.75" customHeight="1">
      <c r="C413" s="452"/>
      <c r="L413" s="402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</row>
    <row r="414" ht="12.75" customHeight="1">
      <c r="C414" s="452"/>
      <c r="L414" s="402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</row>
    <row r="415" ht="12.75" customHeight="1">
      <c r="C415" s="452"/>
      <c r="L415" s="402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</row>
    <row r="416" ht="12.75" customHeight="1">
      <c r="C416" s="452"/>
      <c r="L416" s="402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</row>
    <row r="417" ht="12.75" customHeight="1">
      <c r="C417" s="452"/>
      <c r="L417" s="402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</row>
    <row r="418" ht="12.75" customHeight="1">
      <c r="C418" s="452"/>
      <c r="L418" s="402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</row>
    <row r="419" ht="12.75" customHeight="1">
      <c r="C419" s="452"/>
      <c r="L419" s="402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</row>
    <row r="420" ht="12.75" customHeight="1">
      <c r="C420" s="452"/>
      <c r="L420" s="402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</row>
    <row r="421" ht="12.75" customHeight="1">
      <c r="C421" s="452"/>
      <c r="L421" s="402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</row>
    <row r="422" ht="12.75" customHeight="1">
      <c r="C422" s="452"/>
      <c r="L422" s="402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</row>
    <row r="423" ht="12.75" customHeight="1">
      <c r="C423" s="452"/>
      <c r="L423" s="402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</row>
    <row r="424" ht="12.75" customHeight="1">
      <c r="C424" s="452"/>
      <c r="L424" s="402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</row>
    <row r="425" ht="12.75" customHeight="1">
      <c r="C425" s="452"/>
      <c r="L425" s="402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</row>
    <row r="426" ht="12.75" customHeight="1">
      <c r="C426" s="452"/>
      <c r="L426" s="402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</row>
    <row r="427" ht="12.75" customHeight="1">
      <c r="C427" s="452"/>
      <c r="L427" s="402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</row>
    <row r="428" ht="12.75" customHeight="1">
      <c r="C428" s="452"/>
      <c r="L428" s="402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</row>
    <row r="429" ht="12.75" customHeight="1">
      <c r="C429" s="452"/>
      <c r="L429" s="402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</row>
    <row r="430" ht="12.75" customHeight="1">
      <c r="C430" s="452"/>
      <c r="L430" s="402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</row>
    <row r="431" ht="12.75" customHeight="1">
      <c r="C431" s="452"/>
      <c r="L431" s="402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</row>
    <row r="432" ht="12.75" customHeight="1">
      <c r="C432" s="452"/>
      <c r="L432" s="402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</row>
    <row r="433" ht="12.75" customHeight="1">
      <c r="C433" s="452"/>
      <c r="L433" s="402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</row>
    <row r="434" ht="12.75" customHeight="1">
      <c r="C434" s="452"/>
      <c r="L434" s="402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</row>
    <row r="435" ht="12.75" customHeight="1">
      <c r="C435" s="452"/>
      <c r="L435" s="402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</row>
    <row r="436" ht="12.75" customHeight="1">
      <c r="C436" s="452"/>
      <c r="L436" s="402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</row>
    <row r="437" ht="12.75" customHeight="1">
      <c r="C437" s="452"/>
      <c r="L437" s="402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</row>
    <row r="438" ht="12.75" customHeight="1">
      <c r="C438" s="452"/>
      <c r="L438" s="402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</row>
    <row r="439" ht="12.75" customHeight="1">
      <c r="C439" s="452"/>
      <c r="L439" s="402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</row>
    <row r="440" ht="12.75" customHeight="1">
      <c r="C440" s="452"/>
      <c r="L440" s="402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</row>
    <row r="441" ht="12.75" customHeight="1">
      <c r="C441" s="452"/>
      <c r="L441" s="402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</row>
    <row r="442" ht="12.75" customHeight="1">
      <c r="C442" s="452"/>
      <c r="L442" s="402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</row>
    <row r="443" ht="12.75" customHeight="1">
      <c r="C443" s="452"/>
      <c r="L443" s="402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</row>
    <row r="444" ht="12.75" customHeight="1">
      <c r="C444" s="452"/>
      <c r="L444" s="402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</row>
    <row r="445" ht="12.75" customHeight="1">
      <c r="C445" s="452"/>
      <c r="L445" s="402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</row>
    <row r="446" ht="12.75" customHeight="1">
      <c r="C446" s="452"/>
      <c r="L446" s="402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</row>
    <row r="447" ht="12.75" customHeight="1">
      <c r="C447" s="452"/>
      <c r="L447" s="402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</row>
    <row r="448" ht="12.75" customHeight="1">
      <c r="C448" s="452"/>
      <c r="L448" s="402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</row>
    <row r="449" ht="12.75" customHeight="1">
      <c r="C449" s="452"/>
      <c r="L449" s="402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</row>
    <row r="450" ht="12.75" customHeight="1">
      <c r="C450" s="452"/>
      <c r="L450" s="402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</row>
    <row r="451" ht="12.75" customHeight="1">
      <c r="C451" s="452"/>
      <c r="L451" s="402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</row>
    <row r="452" ht="12.75" customHeight="1">
      <c r="C452" s="452"/>
      <c r="L452" s="402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</row>
    <row r="453" ht="12.75" customHeight="1">
      <c r="C453" s="452"/>
      <c r="L453" s="402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</row>
    <row r="454" ht="12.75" customHeight="1">
      <c r="C454" s="452"/>
      <c r="L454" s="402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</row>
    <row r="455" ht="12.75" customHeight="1">
      <c r="C455" s="452"/>
      <c r="L455" s="402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</row>
    <row r="456" ht="12.75" customHeight="1">
      <c r="C456" s="452"/>
      <c r="L456" s="402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</row>
    <row r="457" ht="12.75" customHeight="1">
      <c r="C457" s="452"/>
      <c r="L457" s="402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</row>
    <row r="458" ht="12.75" customHeight="1">
      <c r="C458" s="452"/>
      <c r="L458" s="402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</row>
    <row r="459" ht="12.75" customHeight="1">
      <c r="C459" s="452"/>
      <c r="L459" s="402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</row>
    <row r="460" ht="12.75" customHeight="1">
      <c r="C460" s="452"/>
      <c r="L460" s="402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</row>
    <row r="461" ht="12.75" customHeight="1">
      <c r="C461" s="452"/>
      <c r="L461" s="402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</row>
    <row r="462" ht="12.75" customHeight="1">
      <c r="C462" s="452"/>
      <c r="L462" s="402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</row>
    <row r="463" ht="12.75" customHeight="1">
      <c r="C463" s="452"/>
      <c r="L463" s="402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</row>
    <row r="464" ht="12.75" customHeight="1">
      <c r="C464" s="452"/>
      <c r="L464" s="402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</row>
    <row r="465" ht="12.75" customHeight="1">
      <c r="C465" s="452"/>
      <c r="L465" s="402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</row>
    <row r="466" ht="12.75" customHeight="1">
      <c r="C466" s="452"/>
      <c r="L466" s="402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</row>
    <row r="467" ht="12.75" customHeight="1">
      <c r="C467" s="452"/>
      <c r="L467" s="402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</row>
    <row r="468" ht="12.75" customHeight="1">
      <c r="C468" s="452"/>
      <c r="L468" s="402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</row>
    <row r="469" ht="12.75" customHeight="1">
      <c r="C469" s="452"/>
      <c r="L469" s="402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</row>
    <row r="470" ht="12.75" customHeight="1">
      <c r="C470" s="452"/>
      <c r="L470" s="402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</row>
    <row r="471" ht="12.75" customHeight="1">
      <c r="C471" s="452"/>
      <c r="L471" s="402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</row>
    <row r="472" ht="12.75" customHeight="1">
      <c r="C472" s="452"/>
      <c r="L472" s="402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</row>
    <row r="473" ht="12.75" customHeight="1">
      <c r="C473" s="452"/>
      <c r="L473" s="402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</row>
    <row r="474" ht="12.75" customHeight="1">
      <c r="C474" s="452"/>
      <c r="L474" s="402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</row>
    <row r="475" ht="12.75" customHeight="1">
      <c r="C475" s="452"/>
      <c r="L475" s="402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</row>
    <row r="476" ht="12.75" customHeight="1">
      <c r="C476" s="452"/>
      <c r="L476" s="402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</row>
    <row r="477" ht="12.75" customHeight="1">
      <c r="C477" s="452"/>
      <c r="L477" s="402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</row>
    <row r="478" ht="12.75" customHeight="1">
      <c r="C478" s="452"/>
      <c r="L478" s="402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</row>
    <row r="479" ht="12.75" customHeight="1">
      <c r="C479" s="452"/>
      <c r="L479" s="402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</row>
    <row r="480" ht="12.75" customHeight="1">
      <c r="C480" s="452"/>
      <c r="L480" s="402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</row>
    <row r="481" ht="12.75" customHeight="1">
      <c r="C481" s="452"/>
      <c r="L481" s="402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</row>
    <row r="482" ht="12.75" customHeight="1">
      <c r="C482" s="452"/>
      <c r="L482" s="402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</row>
    <row r="483" ht="12.75" customHeight="1">
      <c r="C483" s="452"/>
      <c r="L483" s="402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</row>
    <row r="484" ht="12.75" customHeight="1">
      <c r="C484" s="452"/>
      <c r="L484" s="402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</row>
    <row r="485" ht="12.75" customHeight="1">
      <c r="C485" s="452"/>
      <c r="L485" s="402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</row>
    <row r="486" ht="12.75" customHeight="1">
      <c r="C486" s="452"/>
      <c r="L486" s="402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</row>
    <row r="487" ht="12.75" customHeight="1">
      <c r="C487" s="452"/>
      <c r="L487" s="402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</row>
    <row r="488" ht="12.75" customHeight="1">
      <c r="C488" s="452"/>
      <c r="L488" s="402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</row>
    <row r="489" ht="12.75" customHeight="1">
      <c r="C489" s="452"/>
      <c r="L489" s="402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</row>
    <row r="490" ht="12.75" customHeight="1">
      <c r="C490" s="452"/>
      <c r="L490" s="402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</row>
    <row r="491" ht="12.75" customHeight="1">
      <c r="C491" s="452"/>
      <c r="L491" s="402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</row>
    <row r="492" ht="12.75" customHeight="1">
      <c r="C492" s="452"/>
      <c r="L492" s="402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</row>
    <row r="493" ht="12.75" customHeight="1">
      <c r="C493" s="452"/>
      <c r="L493" s="402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</row>
    <row r="494" ht="12.75" customHeight="1">
      <c r="C494" s="452"/>
      <c r="L494" s="402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</row>
    <row r="495" ht="12.75" customHeight="1">
      <c r="C495" s="452"/>
      <c r="L495" s="402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</row>
    <row r="496" ht="12.75" customHeight="1">
      <c r="C496" s="452"/>
      <c r="L496" s="402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</row>
    <row r="497" ht="12.75" customHeight="1">
      <c r="C497" s="452"/>
      <c r="L497" s="402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</row>
    <row r="498" ht="12.75" customHeight="1">
      <c r="C498" s="452"/>
      <c r="L498" s="402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</row>
    <row r="499" ht="12.75" customHeight="1">
      <c r="C499" s="452"/>
      <c r="L499" s="402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</row>
    <row r="500" ht="12.75" customHeight="1">
      <c r="C500" s="452"/>
      <c r="L500" s="402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</row>
    <row r="501" ht="12.75" customHeight="1">
      <c r="C501" s="452"/>
      <c r="L501" s="402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</row>
    <row r="502" ht="12.75" customHeight="1">
      <c r="C502" s="452"/>
      <c r="L502" s="402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</row>
    <row r="503" ht="12.75" customHeight="1">
      <c r="C503" s="452"/>
      <c r="L503" s="402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</row>
    <row r="504" ht="12.75" customHeight="1">
      <c r="C504" s="452"/>
      <c r="L504" s="402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</row>
    <row r="505" ht="12.75" customHeight="1">
      <c r="C505" s="452"/>
      <c r="L505" s="402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</row>
    <row r="506" ht="12.75" customHeight="1">
      <c r="C506" s="452"/>
      <c r="L506" s="402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</row>
    <row r="507" ht="12.75" customHeight="1">
      <c r="C507" s="452"/>
      <c r="L507" s="402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</row>
    <row r="508" ht="12.75" customHeight="1">
      <c r="C508" s="452"/>
      <c r="L508" s="402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</row>
    <row r="509" ht="12.75" customHeight="1">
      <c r="C509" s="452"/>
      <c r="L509" s="402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</row>
    <row r="510" ht="12.75" customHeight="1">
      <c r="C510" s="452"/>
      <c r="L510" s="402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</row>
    <row r="511" ht="12.75" customHeight="1">
      <c r="C511" s="452"/>
      <c r="L511" s="402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</row>
    <row r="512" ht="12.75" customHeight="1">
      <c r="C512" s="452"/>
      <c r="L512" s="402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</row>
    <row r="513" ht="12.75" customHeight="1">
      <c r="C513" s="452"/>
      <c r="L513" s="402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</row>
    <row r="514" ht="12.75" customHeight="1">
      <c r="C514" s="452"/>
      <c r="L514" s="402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</row>
    <row r="515" ht="12.75" customHeight="1">
      <c r="C515" s="452"/>
      <c r="L515" s="402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</row>
    <row r="516" ht="12.75" customHeight="1">
      <c r="C516" s="452"/>
      <c r="L516" s="402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</row>
    <row r="517" ht="12.75" customHeight="1">
      <c r="C517" s="452"/>
      <c r="L517" s="402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</row>
    <row r="518" ht="12.75" customHeight="1">
      <c r="C518" s="452"/>
      <c r="L518" s="402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</row>
    <row r="519" ht="12.75" customHeight="1">
      <c r="C519" s="452"/>
      <c r="L519" s="402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</row>
    <row r="520" ht="12.75" customHeight="1">
      <c r="C520" s="452"/>
      <c r="L520" s="402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</row>
    <row r="521" ht="12.75" customHeight="1">
      <c r="C521" s="452"/>
      <c r="L521" s="402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</row>
    <row r="522" ht="12.75" customHeight="1">
      <c r="C522" s="452"/>
      <c r="L522" s="402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</row>
    <row r="523" ht="12.75" customHeight="1">
      <c r="C523" s="452"/>
      <c r="L523" s="402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</row>
    <row r="524" ht="12.75" customHeight="1">
      <c r="C524" s="452"/>
      <c r="L524" s="402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</row>
    <row r="525" ht="12.75" customHeight="1">
      <c r="C525" s="452"/>
      <c r="L525" s="402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</row>
    <row r="526" ht="12.75" customHeight="1">
      <c r="C526" s="452"/>
      <c r="L526" s="402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</row>
    <row r="527" ht="12.75" customHeight="1">
      <c r="C527" s="452"/>
      <c r="L527" s="402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</row>
    <row r="528" ht="12.75" customHeight="1">
      <c r="C528" s="452"/>
      <c r="L528" s="402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</row>
    <row r="529" ht="12.75" customHeight="1">
      <c r="C529" s="452"/>
      <c r="L529" s="402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</row>
    <row r="530" ht="12.75" customHeight="1">
      <c r="C530" s="452"/>
      <c r="L530" s="402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</row>
    <row r="531" ht="12.75" customHeight="1">
      <c r="C531" s="452"/>
      <c r="L531" s="402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</row>
    <row r="532" ht="12.75" customHeight="1">
      <c r="C532" s="452"/>
      <c r="L532" s="402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</row>
    <row r="533" ht="12.75" customHeight="1">
      <c r="C533" s="452"/>
      <c r="L533" s="402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</row>
    <row r="534" ht="12.75" customHeight="1">
      <c r="C534" s="452"/>
      <c r="L534" s="402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</row>
    <row r="535" ht="12.75" customHeight="1">
      <c r="C535" s="452"/>
      <c r="L535" s="402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</row>
    <row r="536" ht="12.75" customHeight="1">
      <c r="C536" s="452"/>
      <c r="L536" s="402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</row>
    <row r="537" ht="12.75" customHeight="1">
      <c r="C537" s="452"/>
      <c r="L537" s="402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</row>
    <row r="538" ht="12.75" customHeight="1">
      <c r="C538" s="452"/>
      <c r="L538" s="402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</row>
    <row r="539" ht="12.75" customHeight="1">
      <c r="C539" s="452"/>
      <c r="L539" s="402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</row>
    <row r="540" ht="12.75" customHeight="1">
      <c r="C540" s="452"/>
      <c r="L540" s="402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</row>
    <row r="541" ht="12.75" customHeight="1">
      <c r="C541" s="452"/>
      <c r="L541" s="402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</row>
    <row r="542" ht="12.75" customHeight="1">
      <c r="C542" s="452"/>
      <c r="L542" s="402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</row>
    <row r="543" ht="12.75" customHeight="1">
      <c r="C543" s="452"/>
      <c r="L543" s="402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</row>
    <row r="544" ht="12.75" customHeight="1">
      <c r="C544" s="452"/>
      <c r="L544" s="402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</row>
    <row r="545" ht="12.75" customHeight="1">
      <c r="C545" s="452"/>
      <c r="L545" s="402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</row>
    <row r="546" ht="12.75" customHeight="1">
      <c r="C546" s="452"/>
      <c r="L546" s="402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</row>
    <row r="547" ht="12.75" customHeight="1">
      <c r="C547" s="452"/>
      <c r="L547" s="402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</row>
    <row r="548" ht="12.75" customHeight="1">
      <c r="C548" s="452"/>
      <c r="L548" s="402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</row>
    <row r="549" ht="12.75" customHeight="1">
      <c r="C549" s="452"/>
      <c r="L549" s="402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</row>
    <row r="550" ht="12.75" customHeight="1">
      <c r="C550" s="452"/>
      <c r="L550" s="402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</row>
    <row r="551" ht="12.75" customHeight="1">
      <c r="C551" s="452"/>
      <c r="L551" s="402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</row>
    <row r="552" ht="12.75" customHeight="1">
      <c r="C552" s="452"/>
      <c r="L552" s="402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</row>
    <row r="553" ht="12.75" customHeight="1">
      <c r="C553" s="452"/>
      <c r="L553" s="402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</row>
    <row r="554" ht="12.75" customHeight="1">
      <c r="C554" s="452"/>
      <c r="L554" s="402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</row>
    <row r="555" ht="12.75" customHeight="1">
      <c r="C555" s="452"/>
      <c r="L555" s="402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</row>
    <row r="556" ht="12.75" customHeight="1">
      <c r="C556" s="452"/>
      <c r="L556" s="402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</row>
    <row r="557" ht="12.75" customHeight="1">
      <c r="C557" s="452"/>
      <c r="L557" s="402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</row>
    <row r="558" ht="12.75" customHeight="1">
      <c r="C558" s="452"/>
      <c r="L558" s="402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</row>
    <row r="559" ht="12.75" customHeight="1">
      <c r="C559" s="452"/>
      <c r="L559" s="402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</row>
    <row r="560" ht="12.75" customHeight="1">
      <c r="C560" s="452"/>
      <c r="L560" s="402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</row>
    <row r="561" ht="12.75" customHeight="1">
      <c r="C561" s="452"/>
      <c r="L561" s="402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</row>
    <row r="562" ht="12.75" customHeight="1">
      <c r="C562" s="452"/>
      <c r="L562" s="402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</row>
    <row r="563" ht="12.75" customHeight="1">
      <c r="C563" s="452"/>
      <c r="L563" s="402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</row>
    <row r="564" ht="12.75" customHeight="1">
      <c r="C564" s="452"/>
      <c r="L564" s="402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</row>
    <row r="565" ht="12.75" customHeight="1">
      <c r="C565" s="452"/>
      <c r="L565" s="402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</row>
    <row r="566" ht="12.75" customHeight="1">
      <c r="C566" s="452"/>
      <c r="L566" s="402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</row>
    <row r="567" ht="12.75" customHeight="1">
      <c r="C567" s="452"/>
      <c r="L567" s="402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</row>
    <row r="568" ht="12.75" customHeight="1">
      <c r="C568" s="452"/>
      <c r="L568" s="402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</row>
    <row r="569" ht="12.75" customHeight="1">
      <c r="C569" s="452"/>
      <c r="L569" s="402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</row>
    <row r="570" ht="12.75" customHeight="1">
      <c r="C570" s="452"/>
      <c r="L570" s="402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</row>
    <row r="571" ht="12.75" customHeight="1">
      <c r="C571" s="452"/>
      <c r="L571" s="402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</row>
    <row r="572" ht="12.75" customHeight="1">
      <c r="C572" s="452"/>
      <c r="L572" s="402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</row>
    <row r="573" ht="12.75" customHeight="1">
      <c r="C573" s="452"/>
      <c r="L573" s="402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</row>
    <row r="574" ht="12.75" customHeight="1">
      <c r="C574" s="452"/>
      <c r="L574" s="402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</row>
    <row r="575" ht="12.75" customHeight="1">
      <c r="C575" s="452"/>
      <c r="L575" s="402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</row>
    <row r="576" ht="12.75" customHeight="1">
      <c r="C576" s="452"/>
      <c r="L576" s="402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</row>
    <row r="577" ht="12.75" customHeight="1">
      <c r="C577" s="452"/>
      <c r="L577" s="402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</row>
    <row r="578" ht="12.75" customHeight="1">
      <c r="C578" s="452"/>
      <c r="L578" s="402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</row>
    <row r="579" ht="12.75" customHeight="1">
      <c r="C579" s="452"/>
      <c r="L579" s="402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</row>
    <row r="580" ht="12.75" customHeight="1">
      <c r="C580" s="452"/>
      <c r="L580" s="402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</row>
    <row r="581" ht="12.75" customHeight="1">
      <c r="C581" s="452"/>
      <c r="L581" s="402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</row>
    <row r="582" ht="12.75" customHeight="1">
      <c r="C582" s="452"/>
      <c r="L582" s="402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</row>
    <row r="583" ht="12.75" customHeight="1">
      <c r="C583" s="452"/>
      <c r="L583" s="402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</row>
    <row r="584" ht="12.75" customHeight="1">
      <c r="C584" s="452"/>
      <c r="L584" s="402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</row>
    <row r="585" ht="12.75" customHeight="1">
      <c r="C585" s="452"/>
      <c r="L585" s="402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</row>
    <row r="586" ht="12.75" customHeight="1">
      <c r="C586" s="452"/>
      <c r="L586" s="402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</row>
    <row r="587" ht="12.75" customHeight="1">
      <c r="C587" s="452"/>
      <c r="L587" s="402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</row>
    <row r="588" ht="12.75" customHeight="1">
      <c r="C588" s="452"/>
      <c r="L588" s="402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</row>
    <row r="589" ht="12.75" customHeight="1">
      <c r="C589" s="452"/>
      <c r="L589" s="402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</row>
    <row r="590" ht="12.75" customHeight="1">
      <c r="C590" s="452"/>
      <c r="L590" s="402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</row>
    <row r="591" ht="12.75" customHeight="1">
      <c r="C591" s="452"/>
      <c r="L591" s="402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</row>
    <row r="592" ht="12.75" customHeight="1">
      <c r="C592" s="452"/>
      <c r="L592" s="402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</row>
    <row r="593" ht="12.75" customHeight="1">
      <c r="C593" s="452"/>
      <c r="L593" s="402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</row>
    <row r="594" ht="12.75" customHeight="1">
      <c r="C594" s="452"/>
      <c r="L594" s="402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</row>
    <row r="595" ht="12.75" customHeight="1">
      <c r="C595" s="452"/>
      <c r="L595" s="402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</row>
    <row r="596" ht="12.75" customHeight="1">
      <c r="C596" s="452"/>
      <c r="L596" s="402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</row>
    <row r="597" ht="12.75" customHeight="1">
      <c r="C597" s="452"/>
      <c r="L597" s="402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</row>
    <row r="598" ht="12.75" customHeight="1">
      <c r="C598" s="452"/>
      <c r="L598" s="402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</row>
    <row r="599" ht="12.75" customHeight="1">
      <c r="C599" s="452"/>
      <c r="L599" s="402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</row>
    <row r="600" ht="12.75" customHeight="1">
      <c r="C600" s="452"/>
      <c r="L600" s="402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</row>
    <row r="601" ht="12.75" customHeight="1">
      <c r="C601" s="452"/>
      <c r="L601" s="402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</row>
    <row r="602" ht="12.75" customHeight="1">
      <c r="C602" s="452"/>
      <c r="L602" s="402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</row>
    <row r="603" ht="12.75" customHeight="1">
      <c r="C603" s="452"/>
      <c r="L603" s="402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</row>
    <row r="604" ht="12.75" customHeight="1">
      <c r="C604" s="452"/>
      <c r="L604" s="402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</row>
    <row r="605" ht="12.75" customHeight="1">
      <c r="C605" s="452"/>
      <c r="L605" s="402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</row>
    <row r="606" ht="12.75" customHeight="1">
      <c r="C606" s="452"/>
      <c r="L606" s="402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</row>
    <row r="607" ht="12.75" customHeight="1">
      <c r="C607" s="452"/>
      <c r="L607" s="402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</row>
    <row r="608" ht="12.75" customHeight="1">
      <c r="C608" s="452"/>
      <c r="L608" s="402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</row>
    <row r="609" ht="12.75" customHeight="1">
      <c r="C609" s="452"/>
      <c r="L609" s="402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</row>
    <row r="610" ht="12.75" customHeight="1">
      <c r="C610" s="452"/>
      <c r="L610" s="402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</row>
    <row r="611" ht="12.75" customHeight="1">
      <c r="C611" s="452"/>
      <c r="L611" s="402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</row>
    <row r="612" ht="12.75" customHeight="1">
      <c r="C612" s="452"/>
      <c r="L612" s="402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</row>
    <row r="613" ht="12.75" customHeight="1">
      <c r="C613" s="452"/>
      <c r="L613" s="402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</row>
    <row r="614" ht="12.75" customHeight="1">
      <c r="C614" s="452"/>
      <c r="L614" s="402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</row>
    <row r="615" ht="12.75" customHeight="1">
      <c r="C615" s="452"/>
      <c r="L615" s="402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</row>
    <row r="616" ht="12.75" customHeight="1">
      <c r="C616" s="452"/>
      <c r="L616" s="402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</row>
    <row r="617" ht="12.75" customHeight="1">
      <c r="C617" s="452"/>
      <c r="L617" s="402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</row>
    <row r="618" ht="12.75" customHeight="1">
      <c r="C618" s="452"/>
      <c r="L618" s="402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</row>
    <row r="619" ht="12.75" customHeight="1">
      <c r="C619" s="452"/>
      <c r="L619" s="402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</row>
    <row r="620" ht="12.75" customHeight="1">
      <c r="C620" s="452"/>
      <c r="L620" s="402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</row>
    <row r="621" ht="12.75" customHeight="1">
      <c r="C621" s="452"/>
      <c r="L621" s="402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</row>
    <row r="622" ht="12.75" customHeight="1">
      <c r="C622" s="452"/>
      <c r="L622" s="402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</row>
    <row r="623" ht="12.75" customHeight="1">
      <c r="C623" s="452"/>
      <c r="L623" s="402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</row>
    <row r="624" ht="12.75" customHeight="1">
      <c r="C624" s="452"/>
      <c r="L624" s="402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</row>
    <row r="625" ht="12.75" customHeight="1">
      <c r="C625" s="452"/>
      <c r="L625" s="402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</row>
    <row r="626" ht="12.75" customHeight="1">
      <c r="C626" s="452"/>
      <c r="L626" s="402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</row>
    <row r="627" ht="12.75" customHeight="1">
      <c r="C627" s="452"/>
      <c r="L627" s="402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</row>
    <row r="628" ht="12.75" customHeight="1">
      <c r="C628" s="452"/>
      <c r="L628" s="402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</row>
    <row r="629" ht="12.75" customHeight="1">
      <c r="C629" s="452"/>
      <c r="L629" s="402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</row>
    <row r="630" ht="12.75" customHeight="1">
      <c r="C630" s="452"/>
      <c r="L630" s="402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</row>
    <row r="631" ht="12.75" customHeight="1">
      <c r="C631" s="452"/>
      <c r="L631" s="402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</row>
    <row r="632" ht="12.75" customHeight="1">
      <c r="C632" s="452"/>
      <c r="L632" s="402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</row>
    <row r="633" ht="12.75" customHeight="1">
      <c r="C633" s="452"/>
      <c r="L633" s="402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</row>
    <row r="634" ht="12.75" customHeight="1">
      <c r="C634" s="452"/>
      <c r="L634" s="402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</row>
    <row r="635" ht="12.75" customHeight="1">
      <c r="C635" s="452"/>
      <c r="L635" s="402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</row>
    <row r="636" ht="12.75" customHeight="1">
      <c r="C636" s="452"/>
      <c r="L636" s="402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</row>
    <row r="637" ht="12.75" customHeight="1">
      <c r="C637" s="452"/>
      <c r="L637" s="402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</row>
    <row r="638" ht="12.75" customHeight="1">
      <c r="C638" s="452"/>
      <c r="L638" s="402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</row>
    <row r="639" ht="12.75" customHeight="1">
      <c r="C639" s="452"/>
      <c r="L639" s="402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</row>
    <row r="640" ht="12.75" customHeight="1">
      <c r="C640" s="452"/>
      <c r="L640" s="402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</row>
    <row r="641" ht="12.75" customHeight="1">
      <c r="C641" s="452"/>
      <c r="L641" s="402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</row>
    <row r="642" ht="12.75" customHeight="1">
      <c r="C642" s="452"/>
      <c r="L642" s="402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</row>
    <row r="643" ht="12.75" customHeight="1">
      <c r="C643" s="452"/>
      <c r="L643" s="402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</row>
    <row r="644" ht="12.75" customHeight="1">
      <c r="C644" s="452"/>
      <c r="L644" s="402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</row>
    <row r="645" ht="12.75" customHeight="1">
      <c r="C645" s="452"/>
      <c r="L645" s="402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</row>
    <row r="646" ht="12.75" customHeight="1">
      <c r="C646" s="452"/>
      <c r="L646" s="402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</row>
    <row r="647" ht="12.75" customHeight="1">
      <c r="C647" s="452"/>
      <c r="L647" s="402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</row>
    <row r="648" ht="12.75" customHeight="1">
      <c r="C648" s="452"/>
      <c r="L648" s="402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</row>
    <row r="649" ht="12.75" customHeight="1">
      <c r="C649" s="452"/>
      <c r="L649" s="402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</row>
    <row r="650" ht="12.75" customHeight="1">
      <c r="C650" s="452"/>
      <c r="L650" s="402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</row>
    <row r="651" ht="12.75" customHeight="1">
      <c r="C651" s="452"/>
      <c r="L651" s="402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</row>
    <row r="652" ht="12.75" customHeight="1">
      <c r="C652" s="452"/>
      <c r="L652" s="402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</row>
    <row r="653" ht="12.75" customHeight="1">
      <c r="C653" s="452"/>
      <c r="L653" s="402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</row>
    <row r="654" ht="12.75" customHeight="1">
      <c r="C654" s="452"/>
      <c r="L654" s="402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</row>
    <row r="655" ht="12.75" customHeight="1">
      <c r="C655" s="452"/>
      <c r="L655" s="402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</row>
    <row r="656" ht="12.75" customHeight="1">
      <c r="C656" s="452"/>
      <c r="L656" s="402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</row>
    <row r="657" ht="12.75" customHeight="1">
      <c r="C657" s="452"/>
      <c r="L657" s="402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</row>
    <row r="658" ht="12.75" customHeight="1">
      <c r="C658" s="452"/>
      <c r="L658" s="402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</row>
    <row r="659" ht="12.75" customHeight="1">
      <c r="C659" s="452"/>
      <c r="L659" s="402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</row>
    <row r="660" ht="12.75" customHeight="1">
      <c r="C660" s="452"/>
      <c r="L660" s="402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</row>
    <row r="661" ht="12.75" customHeight="1">
      <c r="C661" s="452"/>
      <c r="L661" s="402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</row>
    <row r="662" ht="12.75" customHeight="1">
      <c r="C662" s="452"/>
      <c r="L662" s="402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</row>
    <row r="663" ht="12.75" customHeight="1">
      <c r="C663" s="452"/>
      <c r="L663" s="402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</row>
    <row r="664" ht="12.75" customHeight="1">
      <c r="C664" s="452"/>
      <c r="L664" s="402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</row>
    <row r="665" ht="12.75" customHeight="1">
      <c r="C665" s="452"/>
      <c r="L665" s="402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</row>
    <row r="666" ht="12.75" customHeight="1">
      <c r="C666" s="452"/>
      <c r="L666" s="402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</row>
    <row r="667" ht="12.75" customHeight="1">
      <c r="C667" s="452"/>
      <c r="L667" s="402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</row>
    <row r="668" ht="12.75" customHeight="1">
      <c r="C668" s="452"/>
      <c r="L668" s="402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</row>
    <row r="669" ht="12.75" customHeight="1">
      <c r="C669" s="452"/>
      <c r="L669" s="402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</row>
    <row r="670" ht="12.75" customHeight="1">
      <c r="C670" s="452"/>
      <c r="L670" s="402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</row>
    <row r="671" ht="12.75" customHeight="1">
      <c r="C671" s="452"/>
      <c r="L671" s="402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</row>
    <row r="672" ht="12.75" customHeight="1">
      <c r="C672" s="452"/>
      <c r="L672" s="402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</row>
    <row r="673" ht="12.75" customHeight="1">
      <c r="C673" s="452"/>
      <c r="L673" s="402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</row>
    <row r="674" ht="12.75" customHeight="1">
      <c r="C674" s="452"/>
      <c r="L674" s="402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</row>
    <row r="675" ht="12.75" customHeight="1">
      <c r="C675" s="452"/>
      <c r="L675" s="402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</row>
    <row r="676" ht="12.75" customHeight="1">
      <c r="C676" s="452"/>
      <c r="L676" s="402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</row>
    <row r="677" ht="12.75" customHeight="1">
      <c r="C677" s="452"/>
      <c r="L677" s="402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</row>
    <row r="678" ht="12.75" customHeight="1">
      <c r="C678" s="452"/>
      <c r="L678" s="402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</row>
    <row r="679" ht="12.75" customHeight="1">
      <c r="C679" s="452"/>
      <c r="L679" s="402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</row>
    <row r="680" ht="12.75" customHeight="1">
      <c r="C680" s="452"/>
      <c r="L680" s="402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</row>
    <row r="681" ht="12.75" customHeight="1">
      <c r="C681" s="452"/>
      <c r="L681" s="402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</row>
    <row r="682" ht="12.75" customHeight="1">
      <c r="C682" s="452"/>
      <c r="L682" s="402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</row>
    <row r="683" ht="12.75" customHeight="1">
      <c r="C683" s="452"/>
      <c r="L683" s="402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</row>
    <row r="684" ht="12.75" customHeight="1">
      <c r="C684" s="452"/>
      <c r="L684" s="402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</row>
    <row r="685" ht="12.75" customHeight="1">
      <c r="C685" s="452"/>
      <c r="L685" s="402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</row>
    <row r="686" ht="12.75" customHeight="1">
      <c r="C686" s="452"/>
      <c r="L686" s="402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</row>
    <row r="687" ht="12.75" customHeight="1">
      <c r="C687" s="452"/>
      <c r="L687" s="402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</row>
    <row r="688" ht="12.75" customHeight="1">
      <c r="C688" s="452"/>
      <c r="L688" s="402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</row>
    <row r="689" ht="12.75" customHeight="1">
      <c r="C689" s="452"/>
      <c r="L689" s="402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</row>
    <row r="690" ht="12.75" customHeight="1">
      <c r="C690" s="452"/>
      <c r="L690" s="402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</row>
    <row r="691" ht="12.75" customHeight="1">
      <c r="C691" s="452"/>
      <c r="L691" s="402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</row>
    <row r="692" ht="12.75" customHeight="1">
      <c r="C692" s="452"/>
      <c r="L692" s="402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</row>
    <row r="693" ht="12.75" customHeight="1">
      <c r="C693" s="452"/>
      <c r="L693" s="402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</row>
    <row r="694" ht="12.75" customHeight="1">
      <c r="C694" s="452"/>
      <c r="L694" s="402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</row>
    <row r="695" ht="12.75" customHeight="1">
      <c r="C695" s="452"/>
      <c r="L695" s="402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</row>
    <row r="696" ht="12.75" customHeight="1">
      <c r="C696" s="452"/>
      <c r="L696" s="402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</row>
    <row r="697" ht="12.75" customHeight="1">
      <c r="C697" s="452"/>
      <c r="L697" s="402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</row>
    <row r="698" ht="12.75" customHeight="1">
      <c r="C698" s="452"/>
      <c r="L698" s="402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</row>
    <row r="699" ht="12.75" customHeight="1">
      <c r="C699" s="452"/>
      <c r="L699" s="402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</row>
    <row r="700" ht="12.75" customHeight="1">
      <c r="C700" s="452"/>
      <c r="L700" s="402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</row>
    <row r="701" ht="12.75" customHeight="1">
      <c r="C701" s="452"/>
      <c r="L701" s="402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</row>
    <row r="702" ht="12.75" customHeight="1">
      <c r="C702" s="452"/>
      <c r="L702" s="402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</row>
    <row r="703" ht="12.75" customHeight="1">
      <c r="C703" s="452"/>
      <c r="L703" s="402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</row>
    <row r="704" ht="12.75" customHeight="1">
      <c r="C704" s="452"/>
      <c r="L704" s="402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</row>
    <row r="705" ht="12.75" customHeight="1">
      <c r="C705" s="452"/>
      <c r="L705" s="402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</row>
    <row r="706" ht="12.75" customHeight="1">
      <c r="C706" s="452"/>
      <c r="L706" s="402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</row>
    <row r="707" ht="12.75" customHeight="1">
      <c r="C707" s="452"/>
      <c r="L707" s="402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</row>
    <row r="708" ht="12.75" customHeight="1">
      <c r="C708" s="452"/>
      <c r="L708" s="402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</row>
    <row r="709" ht="12.75" customHeight="1">
      <c r="C709" s="452"/>
      <c r="L709" s="402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</row>
    <row r="710" ht="12.75" customHeight="1">
      <c r="C710" s="452"/>
      <c r="L710" s="402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</row>
    <row r="711" ht="12.75" customHeight="1">
      <c r="C711" s="452"/>
      <c r="L711" s="402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</row>
    <row r="712" ht="12.75" customHeight="1">
      <c r="C712" s="452"/>
      <c r="L712" s="402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</row>
    <row r="713" ht="12.75" customHeight="1">
      <c r="C713" s="452"/>
      <c r="L713" s="402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</row>
    <row r="714" ht="12.75" customHeight="1">
      <c r="C714" s="452"/>
      <c r="L714" s="402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</row>
    <row r="715" ht="12.75" customHeight="1">
      <c r="C715" s="452"/>
      <c r="L715" s="402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</row>
    <row r="716" ht="12.75" customHeight="1">
      <c r="C716" s="452"/>
      <c r="L716" s="402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</row>
    <row r="717" ht="12.75" customHeight="1">
      <c r="C717" s="452"/>
      <c r="L717" s="402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</row>
    <row r="718" ht="12.75" customHeight="1">
      <c r="C718" s="452"/>
      <c r="L718" s="402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</row>
    <row r="719" ht="12.75" customHeight="1">
      <c r="C719" s="452"/>
      <c r="L719" s="402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</row>
    <row r="720" ht="12.75" customHeight="1">
      <c r="C720" s="452"/>
      <c r="L720" s="402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</row>
    <row r="721" ht="12.75" customHeight="1">
      <c r="C721" s="452"/>
      <c r="L721" s="402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</row>
    <row r="722" ht="12.75" customHeight="1">
      <c r="C722" s="452"/>
      <c r="L722" s="402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</row>
    <row r="723" ht="12.75" customHeight="1">
      <c r="C723" s="452"/>
      <c r="L723" s="402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</row>
    <row r="724" ht="12.75" customHeight="1">
      <c r="C724" s="452"/>
      <c r="L724" s="402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</row>
    <row r="725" ht="12.75" customHeight="1">
      <c r="C725" s="452"/>
      <c r="L725" s="402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</row>
    <row r="726" ht="12.75" customHeight="1">
      <c r="C726" s="452"/>
      <c r="L726" s="402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</row>
    <row r="727" ht="12.75" customHeight="1">
      <c r="C727" s="452"/>
      <c r="L727" s="402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</row>
    <row r="728" ht="12.75" customHeight="1">
      <c r="C728" s="452"/>
      <c r="L728" s="402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</row>
    <row r="729" ht="12.75" customHeight="1">
      <c r="C729" s="452"/>
      <c r="L729" s="402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</row>
    <row r="730" ht="12.75" customHeight="1">
      <c r="C730" s="452"/>
      <c r="L730" s="402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</row>
    <row r="731" ht="12.75" customHeight="1">
      <c r="C731" s="452"/>
      <c r="L731" s="402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</row>
    <row r="732" ht="12.75" customHeight="1">
      <c r="C732" s="452"/>
      <c r="L732" s="402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</row>
    <row r="733" ht="12.75" customHeight="1">
      <c r="C733" s="452"/>
      <c r="L733" s="402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</row>
    <row r="734" ht="12.75" customHeight="1">
      <c r="C734" s="452"/>
      <c r="L734" s="402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</row>
    <row r="735" ht="12.75" customHeight="1">
      <c r="C735" s="452"/>
      <c r="L735" s="402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</row>
    <row r="736" ht="12.75" customHeight="1">
      <c r="C736" s="452"/>
      <c r="L736" s="402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</row>
    <row r="737" ht="12.75" customHeight="1">
      <c r="C737" s="452"/>
      <c r="L737" s="402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</row>
    <row r="738" ht="12.75" customHeight="1">
      <c r="C738" s="452"/>
      <c r="L738" s="402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</row>
    <row r="739" ht="12.75" customHeight="1">
      <c r="C739" s="452"/>
      <c r="L739" s="402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</row>
    <row r="740" ht="12.75" customHeight="1">
      <c r="C740" s="452"/>
      <c r="L740" s="402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</row>
    <row r="741" ht="12.75" customHeight="1">
      <c r="C741" s="452"/>
      <c r="L741" s="402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</row>
    <row r="742" ht="12.75" customHeight="1">
      <c r="C742" s="452"/>
      <c r="L742" s="402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</row>
    <row r="743" ht="12.75" customHeight="1">
      <c r="C743" s="452"/>
      <c r="L743" s="402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</row>
    <row r="744" ht="12.75" customHeight="1">
      <c r="C744" s="452"/>
      <c r="L744" s="402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</row>
    <row r="745" ht="12.75" customHeight="1">
      <c r="C745" s="452"/>
      <c r="L745" s="402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</row>
    <row r="746" ht="12.75" customHeight="1">
      <c r="C746" s="452"/>
      <c r="L746" s="402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</row>
    <row r="747" ht="12.75" customHeight="1">
      <c r="C747" s="452"/>
      <c r="L747" s="402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</row>
    <row r="748" ht="12.75" customHeight="1">
      <c r="C748" s="452"/>
      <c r="L748" s="402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</row>
    <row r="749" ht="12.75" customHeight="1">
      <c r="C749" s="452"/>
      <c r="L749" s="402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</row>
    <row r="750" ht="12.75" customHeight="1">
      <c r="C750" s="452"/>
      <c r="L750" s="402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</row>
    <row r="751" ht="12.75" customHeight="1">
      <c r="C751" s="452"/>
      <c r="L751" s="402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</row>
    <row r="752" ht="12.75" customHeight="1">
      <c r="C752" s="452"/>
      <c r="L752" s="402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</row>
    <row r="753" ht="12.75" customHeight="1">
      <c r="C753" s="452"/>
      <c r="L753" s="402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</row>
    <row r="754" ht="12.75" customHeight="1">
      <c r="C754" s="452"/>
      <c r="L754" s="402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</row>
    <row r="755" ht="12.75" customHeight="1">
      <c r="C755" s="452"/>
      <c r="L755" s="402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</row>
    <row r="756" ht="12.75" customHeight="1">
      <c r="C756" s="452"/>
      <c r="L756" s="402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</row>
    <row r="757" ht="12.75" customHeight="1">
      <c r="C757" s="452"/>
      <c r="L757" s="402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</row>
    <row r="758" ht="12.75" customHeight="1">
      <c r="C758" s="452"/>
      <c r="L758" s="402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</row>
    <row r="759" ht="12.75" customHeight="1">
      <c r="C759" s="452"/>
      <c r="L759" s="402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</row>
    <row r="760" ht="12.75" customHeight="1">
      <c r="C760" s="452"/>
      <c r="L760" s="402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</row>
    <row r="761" ht="12.75" customHeight="1">
      <c r="C761" s="452"/>
      <c r="L761" s="402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</row>
    <row r="762" ht="12.75" customHeight="1">
      <c r="C762" s="452"/>
      <c r="L762" s="402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</row>
    <row r="763" ht="12.75" customHeight="1">
      <c r="C763" s="452"/>
      <c r="L763" s="402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</row>
    <row r="764" ht="12.75" customHeight="1">
      <c r="C764" s="452"/>
      <c r="L764" s="402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</row>
    <row r="765" ht="12.75" customHeight="1">
      <c r="C765" s="452"/>
      <c r="L765" s="402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</row>
    <row r="766" ht="12.75" customHeight="1">
      <c r="C766" s="452"/>
      <c r="L766" s="402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</row>
    <row r="767" ht="12.75" customHeight="1">
      <c r="C767" s="452"/>
      <c r="L767" s="402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</row>
    <row r="768" ht="12.75" customHeight="1">
      <c r="C768" s="452"/>
      <c r="L768" s="402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</row>
    <row r="769" ht="12.75" customHeight="1">
      <c r="C769" s="452"/>
      <c r="L769" s="402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</row>
    <row r="770" ht="12.75" customHeight="1">
      <c r="C770" s="452"/>
      <c r="L770" s="402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</row>
    <row r="771" ht="12.75" customHeight="1">
      <c r="C771" s="452"/>
      <c r="L771" s="402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</row>
    <row r="772" ht="12.75" customHeight="1">
      <c r="C772" s="452"/>
      <c r="L772" s="402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</row>
    <row r="773" ht="12.75" customHeight="1">
      <c r="C773" s="452"/>
      <c r="L773" s="402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</row>
    <row r="774" ht="12.75" customHeight="1">
      <c r="C774" s="452"/>
      <c r="L774" s="402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</row>
    <row r="775" ht="12.75" customHeight="1">
      <c r="C775" s="452"/>
      <c r="L775" s="402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</row>
    <row r="776" ht="12.75" customHeight="1">
      <c r="C776" s="452"/>
      <c r="L776" s="402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</row>
    <row r="777" ht="12.75" customHeight="1">
      <c r="C777" s="452"/>
      <c r="L777" s="402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</row>
    <row r="778" ht="12.75" customHeight="1">
      <c r="C778" s="452"/>
      <c r="L778" s="402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</row>
    <row r="779" ht="12.75" customHeight="1">
      <c r="C779" s="452"/>
      <c r="L779" s="402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</row>
    <row r="780" ht="12.75" customHeight="1">
      <c r="C780" s="452"/>
      <c r="L780" s="402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</row>
    <row r="781" ht="12.75" customHeight="1">
      <c r="C781" s="452"/>
      <c r="L781" s="402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</row>
    <row r="782" ht="12.75" customHeight="1">
      <c r="C782" s="452"/>
      <c r="L782" s="402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</row>
    <row r="783" ht="12.75" customHeight="1">
      <c r="C783" s="452"/>
      <c r="L783" s="402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</row>
    <row r="784" ht="12.75" customHeight="1">
      <c r="C784" s="452"/>
      <c r="L784" s="402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</row>
    <row r="785" ht="12.75" customHeight="1">
      <c r="C785" s="452"/>
      <c r="L785" s="402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</row>
    <row r="786" ht="12.75" customHeight="1">
      <c r="C786" s="452"/>
      <c r="L786" s="402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</row>
    <row r="787" ht="12.75" customHeight="1">
      <c r="C787" s="452"/>
      <c r="L787" s="402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</row>
    <row r="788" ht="12.75" customHeight="1">
      <c r="C788" s="452"/>
      <c r="L788" s="402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</row>
    <row r="789" ht="12.75" customHeight="1">
      <c r="C789" s="452"/>
      <c r="L789" s="402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</row>
    <row r="790" ht="12.75" customHeight="1">
      <c r="C790" s="452"/>
      <c r="L790" s="402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</row>
    <row r="791" ht="12.75" customHeight="1">
      <c r="C791" s="452"/>
      <c r="L791" s="402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</row>
    <row r="792" ht="12.75" customHeight="1">
      <c r="C792" s="452"/>
      <c r="L792" s="402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</row>
    <row r="793" ht="12.75" customHeight="1">
      <c r="C793" s="452"/>
      <c r="L793" s="402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</row>
    <row r="794" ht="12.75" customHeight="1">
      <c r="C794" s="452"/>
      <c r="L794" s="402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</row>
    <row r="795" ht="12.75" customHeight="1">
      <c r="C795" s="452"/>
      <c r="L795" s="402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</row>
    <row r="796" ht="12.75" customHeight="1">
      <c r="C796" s="452"/>
      <c r="L796" s="402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</row>
    <row r="797" ht="12.75" customHeight="1">
      <c r="C797" s="452"/>
      <c r="L797" s="402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</row>
    <row r="798" ht="12.75" customHeight="1">
      <c r="C798" s="452"/>
      <c r="L798" s="402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</row>
    <row r="799" ht="12.75" customHeight="1">
      <c r="C799" s="452"/>
      <c r="L799" s="402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</row>
    <row r="800" ht="12.75" customHeight="1">
      <c r="C800" s="452"/>
      <c r="L800" s="402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</row>
    <row r="801" ht="12.75" customHeight="1">
      <c r="C801" s="452"/>
      <c r="L801" s="402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</row>
    <row r="802" ht="12.75" customHeight="1">
      <c r="C802" s="452"/>
      <c r="L802" s="402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</row>
    <row r="803" ht="12.75" customHeight="1">
      <c r="C803" s="452"/>
      <c r="L803" s="402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</row>
    <row r="804" ht="12.75" customHeight="1">
      <c r="C804" s="452"/>
      <c r="L804" s="402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</row>
    <row r="805" ht="12.75" customHeight="1">
      <c r="C805" s="452"/>
      <c r="L805" s="402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</row>
    <row r="806" ht="12.75" customHeight="1">
      <c r="C806" s="452"/>
      <c r="L806" s="402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</row>
    <row r="807" ht="12.75" customHeight="1">
      <c r="C807" s="452"/>
      <c r="L807" s="402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</row>
    <row r="808" ht="12.75" customHeight="1">
      <c r="C808" s="452"/>
      <c r="L808" s="402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</row>
    <row r="809" ht="12.75" customHeight="1">
      <c r="C809" s="452"/>
      <c r="L809" s="402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</row>
    <row r="810" ht="12.75" customHeight="1">
      <c r="C810" s="452"/>
      <c r="L810" s="402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</row>
    <row r="811" ht="12.75" customHeight="1">
      <c r="C811" s="452"/>
      <c r="L811" s="402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</row>
    <row r="812" ht="12.75" customHeight="1">
      <c r="C812" s="452"/>
      <c r="L812" s="402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</row>
    <row r="813" ht="12.75" customHeight="1">
      <c r="C813" s="452"/>
      <c r="L813" s="402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</row>
    <row r="814" ht="12.75" customHeight="1">
      <c r="C814" s="452"/>
      <c r="L814" s="402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</row>
    <row r="815" ht="12.75" customHeight="1">
      <c r="C815" s="452"/>
      <c r="L815" s="402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</row>
    <row r="816" ht="12.75" customHeight="1">
      <c r="C816" s="452"/>
      <c r="L816" s="402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</row>
    <row r="817" ht="12.75" customHeight="1">
      <c r="C817" s="452"/>
      <c r="L817" s="402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</row>
    <row r="818" ht="12.75" customHeight="1">
      <c r="C818" s="452"/>
      <c r="L818" s="402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</row>
    <row r="819" ht="12.75" customHeight="1">
      <c r="C819" s="452"/>
      <c r="L819" s="402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</row>
    <row r="820" ht="12.75" customHeight="1">
      <c r="C820" s="452"/>
      <c r="L820" s="402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</row>
    <row r="821" ht="12.75" customHeight="1">
      <c r="C821" s="452"/>
      <c r="L821" s="402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</row>
    <row r="822" ht="12.75" customHeight="1">
      <c r="C822" s="452"/>
      <c r="L822" s="402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</row>
    <row r="823" ht="12.75" customHeight="1">
      <c r="C823" s="452"/>
      <c r="L823" s="402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</row>
    <row r="824" ht="12.75" customHeight="1">
      <c r="C824" s="452"/>
      <c r="L824" s="402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</row>
    <row r="825" ht="12.75" customHeight="1">
      <c r="C825" s="452"/>
      <c r="L825" s="402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</row>
    <row r="826" ht="12.75" customHeight="1">
      <c r="C826" s="452"/>
      <c r="L826" s="402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</row>
    <row r="827" ht="12.75" customHeight="1">
      <c r="C827" s="452"/>
      <c r="L827" s="402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</row>
    <row r="828" ht="12.75" customHeight="1">
      <c r="C828" s="452"/>
      <c r="L828" s="402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</row>
    <row r="829" ht="12.75" customHeight="1">
      <c r="C829" s="452"/>
      <c r="L829" s="402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</row>
    <row r="830" ht="12.75" customHeight="1">
      <c r="C830" s="452"/>
      <c r="L830" s="402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</row>
    <row r="831" ht="12.75" customHeight="1">
      <c r="C831" s="452"/>
      <c r="L831" s="402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</row>
    <row r="832" ht="12.75" customHeight="1">
      <c r="C832" s="452"/>
      <c r="L832" s="402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</row>
    <row r="833" ht="12.75" customHeight="1">
      <c r="C833" s="452"/>
      <c r="L833" s="402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</row>
    <row r="834" ht="12.75" customHeight="1">
      <c r="C834" s="452"/>
      <c r="L834" s="402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</row>
    <row r="835" ht="12.75" customHeight="1">
      <c r="C835" s="452"/>
      <c r="L835" s="402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</row>
    <row r="836" ht="12.75" customHeight="1">
      <c r="C836" s="452"/>
      <c r="L836" s="402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</row>
    <row r="837" ht="12.75" customHeight="1">
      <c r="C837" s="452"/>
      <c r="L837" s="402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</row>
    <row r="838" ht="12.75" customHeight="1">
      <c r="C838" s="452"/>
      <c r="L838" s="402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</row>
    <row r="839" ht="12.75" customHeight="1">
      <c r="C839" s="452"/>
      <c r="L839" s="402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</row>
    <row r="840" ht="12.75" customHeight="1">
      <c r="C840" s="452"/>
      <c r="L840" s="402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</row>
    <row r="841" ht="12.75" customHeight="1">
      <c r="C841" s="452"/>
      <c r="L841" s="402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</row>
    <row r="842" ht="12.75" customHeight="1">
      <c r="C842" s="452"/>
      <c r="L842" s="402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</row>
    <row r="843" ht="12.75" customHeight="1">
      <c r="C843" s="452"/>
      <c r="L843" s="402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</row>
    <row r="844" ht="12.75" customHeight="1">
      <c r="C844" s="452"/>
      <c r="L844" s="402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</row>
    <row r="845" ht="12.75" customHeight="1">
      <c r="C845" s="452"/>
      <c r="L845" s="402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</row>
    <row r="846" ht="12.75" customHeight="1">
      <c r="C846" s="452"/>
      <c r="L846" s="402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</row>
    <row r="847" ht="12.75" customHeight="1">
      <c r="C847" s="452"/>
      <c r="L847" s="402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</row>
    <row r="848" ht="12.75" customHeight="1">
      <c r="C848" s="452"/>
      <c r="L848" s="402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</row>
    <row r="849" ht="12.75" customHeight="1">
      <c r="C849" s="452"/>
      <c r="L849" s="402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</row>
    <row r="850" ht="12.75" customHeight="1">
      <c r="C850" s="452"/>
      <c r="L850" s="402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</row>
    <row r="851" ht="12.75" customHeight="1">
      <c r="C851" s="452"/>
      <c r="L851" s="402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</row>
    <row r="852" ht="12.75" customHeight="1">
      <c r="C852" s="452"/>
      <c r="L852" s="402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</row>
    <row r="853" ht="12.75" customHeight="1">
      <c r="C853" s="452"/>
      <c r="L853" s="402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</row>
    <row r="854" ht="12.75" customHeight="1">
      <c r="C854" s="452"/>
      <c r="L854" s="402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</row>
    <row r="855" ht="12.75" customHeight="1">
      <c r="C855" s="452"/>
      <c r="L855" s="402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</row>
    <row r="856" ht="12.75" customHeight="1">
      <c r="C856" s="452"/>
      <c r="L856" s="402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</row>
    <row r="857" ht="12.75" customHeight="1">
      <c r="C857" s="452"/>
      <c r="L857" s="402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</row>
    <row r="858" ht="12.75" customHeight="1">
      <c r="C858" s="452"/>
      <c r="L858" s="402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</row>
    <row r="859" ht="12.75" customHeight="1">
      <c r="C859" s="452"/>
      <c r="L859" s="402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</row>
    <row r="860" ht="12.75" customHeight="1">
      <c r="C860" s="452"/>
      <c r="L860" s="402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</row>
    <row r="861" ht="12.75" customHeight="1">
      <c r="C861" s="452"/>
      <c r="L861" s="402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</row>
    <row r="862" ht="12.75" customHeight="1">
      <c r="C862" s="452"/>
      <c r="L862" s="402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</row>
    <row r="863" ht="12.75" customHeight="1">
      <c r="C863" s="452"/>
      <c r="L863" s="402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</row>
    <row r="864" ht="12.75" customHeight="1">
      <c r="C864" s="452"/>
      <c r="L864" s="402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</row>
    <row r="865" ht="12.75" customHeight="1">
      <c r="C865" s="452"/>
      <c r="L865" s="402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</row>
    <row r="866" ht="12.75" customHeight="1">
      <c r="C866" s="452"/>
      <c r="L866" s="402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</row>
    <row r="867" ht="12.75" customHeight="1">
      <c r="C867" s="452"/>
      <c r="L867" s="402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</row>
    <row r="868" ht="12.75" customHeight="1">
      <c r="C868" s="452"/>
      <c r="L868" s="402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</row>
    <row r="869" ht="12.75" customHeight="1">
      <c r="C869" s="452"/>
      <c r="L869" s="402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</row>
    <row r="870" ht="12.75" customHeight="1">
      <c r="C870" s="452"/>
      <c r="L870" s="402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</row>
    <row r="871" ht="12.75" customHeight="1">
      <c r="C871" s="452"/>
      <c r="L871" s="402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</row>
    <row r="872" ht="12.75" customHeight="1">
      <c r="C872" s="452"/>
      <c r="L872" s="402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</row>
    <row r="873" ht="12.75" customHeight="1">
      <c r="C873" s="452"/>
      <c r="L873" s="402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</row>
    <row r="874" ht="12.75" customHeight="1">
      <c r="C874" s="452"/>
      <c r="L874" s="402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</row>
    <row r="875" ht="12.75" customHeight="1">
      <c r="C875" s="452"/>
      <c r="L875" s="402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</row>
    <row r="876" ht="12.75" customHeight="1">
      <c r="C876" s="452"/>
      <c r="L876" s="402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</row>
    <row r="877" ht="12.75" customHeight="1">
      <c r="C877" s="452"/>
      <c r="L877" s="402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</row>
    <row r="878" ht="12.75" customHeight="1">
      <c r="C878" s="452"/>
      <c r="L878" s="402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</row>
    <row r="879" ht="12.75" customHeight="1">
      <c r="C879" s="452"/>
      <c r="L879" s="402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</row>
    <row r="880" ht="12.75" customHeight="1">
      <c r="C880" s="452"/>
      <c r="L880" s="402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</row>
    <row r="881" ht="12.75" customHeight="1">
      <c r="C881" s="452"/>
      <c r="L881" s="402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</row>
    <row r="882" ht="12.75" customHeight="1">
      <c r="C882" s="452"/>
      <c r="L882" s="402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</row>
    <row r="883" ht="12.75" customHeight="1">
      <c r="C883" s="452"/>
      <c r="L883" s="402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</row>
    <row r="884" ht="12.75" customHeight="1">
      <c r="C884" s="452"/>
      <c r="L884" s="402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</row>
    <row r="885" ht="12.75" customHeight="1">
      <c r="C885" s="452"/>
      <c r="L885" s="402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</row>
    <row r="886" ht="12.75" customHeight="1">
      <c r="C886" s="452"/>
      <c r="L886" s="402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</row>
    <row r="887" ht="12.75" customHeight="1">
      <c r="C887" s="452"/>
      <c r="L887" s="402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</row>
    <row r="888" ht="12.75" customHeight="1">
      <c r="C888" s="452"/>
      <c r="L888" s="402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</row>
    <row r="889" ht="12.75" customHeight="1">
      <c r="C889" s="452"/>
      <c r="L889" s="402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</row>
    <row r="890" ht="12.75" customHeight="1">
      <c r="C890" s="452"/>
      <c r="L890" s="402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</row>
    <row r="891" ht="12.75" customHeight="1">
      <c r="C891" s="452"/>
      <c r="L891" s="402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</row>
    <row r="892" ht="12.75" customHeight="1">
      <c r="C892" s="452"/>
      <c r="L892" s="402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</row>
    <row r="893" ht="12.75" customHeight="1">
      <c r="C893" s="452"/>
      <c r="L893" s="402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</row>
    <row r="894" ht="12.75" customHeight="1">
      <c r="C894" s="452"/>
      <c r="L894" s="402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</row>
    <row r="895" ht="12.75" customHeight="1">
      <c r="C895" s="452"/>
      <c r="L895" s="402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</row>
    <row r="896" ht="12.75" customHeight="1">
      <c r="C896" s="452"/>
      <c r="L896" s="402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</row>
    <row r="897" ht="12.75" customHeight="1">
      <c r="C897" s="452"/>
      <c r="L897" s="402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</row>
    <row r="898" ht="12.75" customHeight="1">
      <c r="C898" s="452"/>
      <c r="L898" s="402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</row>
    <row r="899" ht="12.75" customHeight="1">
      <c r="C899" s="452"/>
      <c r="L899" s="402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</row>
    <row r="900" ht="12.75" customHeight="1">
      <c r="C900" s="452"/>
      <c r="L900" s="402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</row>
    <row r="901" ht="12.75" customHeight="1">
      <c r="C901" s="452"/>
      <c r="L901" s="402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</row>
    <row r="902" ht="12.75" customHeight="1">
      <c r="C902" s="452"/>
      <c r="L902" s="402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</row>
    <row r="903" ht="12.75" customHeight="1">
      <c r="C903" s="452"/>
      <c r="L903" s="402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</row>
    <row r="904" ht="12.75" customHeight="1">
      <c r="C904" s="452"/>
      <c r="L904" s="402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</row>
    <row r="905" ht="12.75" customHeight="1">
      <c r="C905" s="452"/>
      <c r="L905" s="402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</row>
    <row r="906" ht="12.75" customHeight="1">
      <c r="C906" s="452"/>
      <c r="L906" s="402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</row>
    <row r="907" ht="12.75" customHeight="1">
      <c r="C907" s="452"/>
      <c r="L907" s="402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</row>
    <row r="908" ht="12.75" customHeight="1">
      <c r="C908" s="452"/>
      <c r="L908" s="402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</row>
    <row r="909" ht="12.75" customHeight="1">
      <c r="C909" s="452"/>
      <c r="L909" s="402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</row>
    <row r="910" ht="12.75" customHeight="1">
      <c r="C910" s="452"/>
      <c r="L910" s="402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</row>
    <row r="911" ht="12.75" customHeight="1">
      <c r="C911" s="452"/>
      <c r="L911" s="402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</row>
    <row r="912" ht="12.75" customHeight="1">
      <c r="C912" s="452"/>
      <c r="L912" s="402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</row>
    <row r="913" ht="12.75" customHeight="1">
      <c r="C913" s="452"/>
      <c r="L913" s="402"/>
      <c r="U913" s="36"/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</row>
    <row r="914" ht="12.75" customHeight="1">
      <c r="C914" s="452"/>
      <c r="L914" s="402"/>
      <c r="U914" s="36"/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</row>
    <row r="915" ht="12.75" customHeight="1">
      <c r="C915" s="452"/>
      <c r="L915" s="402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</row>
    <row r="916" ht="12.75" customHeight="1">
      <c r="C916" s="452"/>
      <c r="L916" s="402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</row>
    <row r="917" ht="12.75" customHeight="1">
      <c r="C917" s="452"/>
      <c r="L917" s="402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</row>
    <row r="918" ht="12.75" customHeight="1">
      <c r="C918" s="452"/>
      <c r="L918" s="402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</row>
    <row r="919" ht="12.75" customHeight="1">
      <c r="C919" s="452"/>
      <c r="L919" s="402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</row>
    <row r="920" ht="12.75" customHeight="1">
      <c r="C920" s="452"/>
      <c r="L920" s="402"/>
      <c r="U920" s="36"/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</row>
    <row r="921" ht="12.75" customHeight="1">
      <c r="C921" s="452"/>
      <c r="L921" s="402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</row>
    <row r="922" ht="12.75" customHeight="1">
      <c r="C922" s="452"/>
      <c r="L922" s="402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</row>
    <row r="923" ht="12.75" customHeight="1">
      <c r="C923" s="452"/>
      <c r="L923" s="402"/>
      <c r="U923" s="36"/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</row>
    <row r="924" ht="12.75" customHeight="1">
      <c r="C924" s="452"/>
      <c r="L924" s="402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</row>
    <row r="925" ht="12.75" customHeight="1">
      <c r="C925" s="452"/>
      <c r="L925" s="402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</row>
    <row r="926" ht="12.75" customHeight="1">
      <c r="C926" s="452"/>
      <c r="L926" s="402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</row>
    <row r="927" ht="12.75" customHeight="1">
      <c r="C927" s="452"/>
      <c r="L927" s="402"/>
      <c r="U927" s="36"/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</row>
    <row r="928" ht="12.75" customHeight="1">
      <c r="C928" s="452"/>
      <c r="L928" s="402"/>
      <c r="U928" s="36"/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</row>
    <row r="929" ht="12.75" customHeight="1">
      <c r="C929" s="452"/>
      <c r="L929" s="402"/>
      <c r="U929" s="36"/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</row>
    <row r="930" ht="12.75" customHeight="1">
      <c r="C930" s="452"/>
      <c r="L930" s="402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</row>
    <row r="931" ht="12.75" customHeight="1">
      <c r="C931" s="452"/>
      <c r="L931" s="402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</row>
    <row r="932" ht="12.75" customHeight="1">
      <c r="C932" s="452"/>
      <c r="L932" s="402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</row>
    <row r="933" ht="12.75" customHeight="1">
      <c r="C933" s="452"/>
      <c r="L933" s="402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</row>
    <row r="934" ht="12.75" customHeight="1">
      <c r="C934" s="452"/>
      <c r="L934" s="402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</row>
    <row r="935" ht="12.75" customHeight="1">
      <c r="C935" s="452"/>
      <c r="L935" s="402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</row>
    <row r="936" ht="12.75" customHeight="1">
      <c r="C936" s="452"/>
      <c r="L936" s="402"/>
      <c r="U936" s="36"/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</row>
    <row r="937" ht="12.75" customHeight="1">
      <c r="C937" s="452"/>
      <c r="L937" s="402"/>
      <c r="U937" s="36"/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</row>
    <row r="938" ht="12.75" customHeight="1">
      <c r="C938" s="452"/>
      <c r="L938" s="402"/>
      <c r="U938" s="36"/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</row>
    <row r="939" ht="12.75" customHeight="1">
      <c r="C939" s="452"/>
      <c r="L939" s="402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</row>
    <row r="940" ht="12.75" customHeight="1">
      <c r="C940" s="452"/>
      <c r="L940" s="402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</row>
    <row r="941" ht="12.75" customHeight="1">
      <c r="C941" s="452"/>
      <c r="L941" s="402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</row>
    <row r="942" ht="12.75" customHeight="1">
      <c r="C942" s="452"/>
      <c r="L942" s="402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</row>
    <row r="943" ht="12.75" customHeight="1">
      <c r="C943" s="452"/>
      <c r="L943" s="402"/>
      <c r="U943" s="36"/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</row>
    <row r="944" ht="12.75" customHeight="1">
      <c r="C944" s="452"/>
      <c r="L944" s="402"/>
      <c r="U944" s="36"/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</row>
    <row r="945" ht="12.75" customHeight="1">
      <c r="C945" s="452"/>
      <c r="L945" s="402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</row>
    <row r="946" ht="12.75" customHeight="1">
      <c r="C946" s="452"/>
      <c r="L946" s="402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</row>
    <row r="947" ht="12.75" customHeight="1">
      <c r="C947" s="452"/>
      <c r="L947" s="402"/>
      <c r="U947" s="36"/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</row>
    <row r="948" ht="12.75" customHeight="1">
      <c r="C948" s="452"/>
      <c r="L948" s="402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</row>
    <row r="949" ht="12.75" customHeight="1">
      <c r="C949" s="452"/>
      <c r="L949" s="402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</row>
    <row r="950" ht="12.75" customHeight="1">
      <c r="C950" s="452"/>
      <c r="L950" s="402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</row>
    <row r="951" ht="12.75" customHeight="1">
      <c r="C951" s="452"/>
      <c r="L951" s="402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</row>
    <row r="952" ht="12.75" customHeight="1">
      <c r="C952" s="452"/>
      <c r="L952" s="402"/>
      <c r="U952" s="36"/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</row>
    <row r="953" ht="12.75" customHeight="1">
      <c r="C953" s="452"/>
      <c r="L953" s="402"/>
      <c r="U953" s="36"/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</row>
    <row r="954" ht="12.75" customHeight="1">
      <c r="C954" s="452"/>
      <c r="L954" s="402"/>
      <c r="U954" s="36"/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</row>
    <row r="955" ht="12.75" customHeight="1">
      <c r="C955" s="452"/>
      <c r="L955" s="402"/>
      <c r="U955" s="36"/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</row>
    <row r="956" ht="12.75" customHeight="1">
      <c r="C956" s="452"/>
      <c r="L956" s="402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</row>
    <row r="957" ht="12.75" customHeight="1">
      <c r="C957" s="452"/>
      <c r="L957" s="402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</row>
    <row r="958" ht="12.75" customHeight="1">
      <c r="C958" s="452"/>
      <c r="L958" s="402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</row>
    <row r="959" ht="12.75" customHeight="1">
      <c r="C959" s="452"/>
      <c r="L959" s="402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</row>
    <row r="960" ht="12.75" customHeight="1">
      <c r="C960" s="452"/>
      <c r="L960" s="402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</row>
    <row r="961" ht="12.75" customHeight="1">
      <c r="C961" s="452"/>
      <c r="L961" s="402"/>
      <c r="U961" s="36"/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</row>
    <row r="962" ht="12.75" customHeight="1">
      <c r="C962" s="452"/>
      <c r="L962" s="402"/>
      <c r="U962" s="36"/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</row>
    <row r="963" ht="12.75" customHeight="1">
      <c r="C963" s="452"/>
      <c r="L963" s="402"/>
      <c r="U963" s="36"/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</row>
    <row r="964" ht="12.75" customHeight="1">
      <c r="C964" s="452"/>
      <c r="L964" s="402"/>
      <c r="U964" s="36"/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</row>
    <row r="965" ht="12.75" customHeight="1">
      <c r="C965" s="452"/>
      <c r="L965" s="402"/>
      <c r="U965" s="36"/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</row>
    <row r="966" ht="12.75" customHeight="1">
      <c r="C966" s="452"/>
      <c r="L966" s="402"/>
      <c r="U966" s="36"/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</row>
    <row r="967" ht="12.75" customHeight="1">
      <c r="C967" s="452"/>
      <c r="L967" s="402"/>
      <c r="U967" s="36"/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</row>
    <row r="968" ht="12.75" customHeight="1">
      <c r="C968" s="452"/>
      <c r="L968" s="402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</row>
    <row r="969" ht="12.75" customHeight="1">
      <c r="C969" s="452"/>
      <c r="L969" s="402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</row>
    <row r="970" ht="12.75" customHeight="1">
      <c r="C970" s="452"/>
      <c r="L970" s="402"/>
      <c r="U970" s="36"/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</row>
    <row r="971" ht="12.75" customHeight="1">
      <c r="C971" s="452"/>
      <c r="L971" s="402"/>
      <c r="U971" s="36"/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</row>
    <row r="972" ht="12.75" customHeight="1">
      <c r="C972" s="452"/>
      <c r="L972" s="402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</row>
    <row r="973" ht="12.75" customHeight="1">
      <c r="C973" s="452"/>
      <c r="L973" s="402"/>
      <c r="U973" s="36"/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</row>
    <row r="974" ht="12.75" customHeight="1">
      <c r="C974" s="452"/>
      <c r="L974" s="402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</row>
    <row r="975" ht="12.75" customHeight="1">
      <c r="C975" s="452"/>
      <c r="L975" s="402"/>
      <c r="U975" s="36"/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</row>
    <row r="976" ht="12.75" customHeight="1">
      <c r="C976" s="452"/>
      <c r="L976" s="402"/>
      <c r="U976" s="36"/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</row>
    <row r="977" ht="12.75" customHeight="1">
      <c r="C977" s="452"/>
      <c r="L977" s="402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</row>
    <row r="978" ht="12.75" customHeight="1">
      <c r="C978" s="452"/>
      <c r="L978" s="402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</row>
    <row r="979" ht="12.75" customHeight="1">
      <c r="C979" s="452"/>
      <c r="L979" s="402"/>
      <c r="U979" s="36"/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</row>
    <row r="980" ht="12.75" customHeight="1">
      <c r="C980" s="452"/>
      <c r="L980" s="402"/>
      <c r="U980" s="36"/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</row>
    <row r="981" ht="12.75" customHeight="1">
      <c r="C981" s="452"/>
      <c r="L981" s="402"/>
      <c r="U981" s="36"/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</row>
    <row r="982" ht="12.75" customHeight="1">
      <c r="C982" s="452"/>
      <c r="L982" s="402"/>
      <c r="U982" s="36"/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</row>
    <row r="983" ht="12.75" customHeight="1">
      <c r="C983" s="452"/>
      <c r="L983" s="402"/>
      <c r="U983" s="36"/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</row>
    <row r="984" ht="12.75" customHeight="1">
      <c r="C984" s="452"/>
      <c r="L984" s="402"/>
      <c r="U984" s="36"/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</row>
    <row r="985" ht="12.75" customHeight="1">
      <c r="C985" s="452"/>
      <c r="L985" s="402"/>
      <c r="U985" s="36"/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</row>
    <row r="986" ht="12.75" customHeight="1">
      <c r="C986" s="452"/>
      <c r="L986" s="402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</row>
    <row r="987" ht="12.75" customHeight="1">
      <c r="C987" s="452"/>
      <c r="L987" s="402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</row>
    <row r="988" ht="12.75" customHeight="1">
      <c r="C988" s="452"/>
      <c r="L988" s="402"/>
      <c r="U988" s="36"/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</row>
    <row r="989" ht="12.75" customHeight="1">
      <c r="C989" s="452"/>
      <c r="L989" s="402"/>
      <c r="U989" s="36"/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</row>
    <row r="990" ht="12.75" customHeight="1">
      <c r="C990" s="452"/>
      <c r="L990" s="402"/>
      <c r="U990" s="36"/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</row>
    <row r="991" ht="12.75" customHeight="1">
      <c r="C991" s="452"/>
      <c r="L991" s="402"/>
      <c r="U991" s="36"/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</row>
    <row r="992" ht="12.75" customHeight="1">
      <c r="C992" s="452"/>
      <c r="L992" s="402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</row>
    <row r="993" ht="12.75" customHeight="1">
      <c r="C993" s="452"/>
      <c r="L993" s="402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</row>
    <row r="994" ht="12.75" customHeight="1">
      <c r="C994" s="452"/>
      <c r="L994" s="402"/>
      <c r="U994" s="36"/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</row>
    <row r="995" ht="12.75" customHeight="1">
      <c r="C995" s="452"/>
      <c r="L995" s="402"/>
      <c r="U995" s="36"/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</row>
    <row r="996" ht="12.75" customHeight="1">
      <c r="C996" s="452"/>
      <c r="L996" s="402"/>
      <c r="U996" s="36"/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</row>
    <row r="997" ht="12.75" customHeight="1">
      <c r="C997" s="452"/>
      <c r="L997" s="402"/>
      <c r="U997" s="36"/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</row>
    <row r="998" ht="12.75" customHeight="1">
      <c r="C998" s="452"/>
      <c r="L998" s="402"/>
      <c r="U998" s="36"/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</row>
    <row r="999" ht="12.75" customHeight="1">
      <c r="C999" s="452"/>
      <c r="L999" s="402"/>
      <c r="U999" s="36"/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</row>
    <row r="1000" ht="12.75" customHeight="1">
      <c r="C1000" s="452"/>
      <c r="L1000" s="402"/>
      <c r="U1000" s="36"/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</row>
  </sheetData>
  <mergeCells count="71">
    <mergeCell ref="G28:H28"/>
    <mergeCell ref="I28:J28"/>
    <mergeCell ref="L28:M28"/>
    <mergeCell ref="O28:P28"/>
    <mergeCell ref="G29:H29"/>
    <mergeCell ref="I29:J29"/>
    <mergeCell ref="O29:P29"/>
    <mergeCell ref="L29:M29"/>
    <mergeCell ref="D30:N30"/>
    <mergeCell ref="D31:E31"/>
    <mergeCell ref="H31:I31"/>
    <mergeCell ref="L31:M31"/>
    <mergeCell ref="H32:I32"/>
    <mergeCell ref="L32:M32"/>
    <mergeCell ref="H34:I34"/>
    <mergeCell ref="H35:I35"/>
    <mergeCell ref="H38:I38"/>
    <mergeCell ref="H39:I39"/>
    <mergeCell ref="H40:I40"/>
    <mergeCell ref="D35:E35"/>
    <mergeCell ref="D36:E36"/>
    <mergeCell ref="D32:E32"/>
    <mergeCell ref="D33:E33"/>
    <mergeCell ref="H33:I33"/>
    <mergeCell ref="L33:M33"/>
    <mergeCell ref="D34:E34"/>
    <mergeCell ref="L34:M34"/>
    <mergeCell ref="L35:M35"/>
    <mergeCell ref="C2:R3"/>
    <mergeCell ref="U2:AF2"/>
    <mergeCell ref="I4:J5"/>
    <mergeCell ref="L4:M4"/>
    <mergeCell ref="O5:P5"/>
    <mergeCell ref="I6:J6"/>
    <mergeCell ref="O6:P6"/>
    <mergeCell ref="F6:G6"/>
    <mergeCell ref="F7:G7"/>
    <mergeCell ref="I7:J7"/>
    <mergeCell ref="F9:G9"/>
    <mergeCell ref="I9:J9"/>
    <mergeCell ref="L9:M9"/>
    <mergeCell ref="O9:P9"/>
    <mergeCell ref="O10:P10"/>
    <mergeCell ref="O11:P11"/>
    <mergeCell ref="U11:AF11"/>
    <mergeCell ref="C11:D11"/>
    <mergeCell ref="C13:D13"/>
    <mergeCell ref="F13:G13"/>
    <mergeCell ref="C14:D14"/>
    <mergeCell ref="F14:G14"/>
    <mergeCell ref="C9:D9"/>
    <mergeCell ref="C10:D10"/>
    <mergeCell ref="F10:G10"/>
    <mergeCell ref="L10:M10"/>
    <mergeCell ref="F11:G11"/>
    <mergeCell ref="L11:M11"/>
    <mergeCell ref="C12:Q12"/>
    <mergeCell ref="I10:J10"/>
    <mergeCell ref="I11:J11"/>
    <mergeCell ref="I13:J13"/>
    <mergeCell ref="L13:M13"/>
    <mergeCell ref="O13:P13"/>
    <mergeCell ref="I14:J14"/>
    <mergeCell ref="L14:M14"/>
    <mergeCell ref="O14:P14"/>
    <mergeCell ref="T22:U22"/>
    <mergeCell ref="F25:P25"/>
    <mergeCell ref="F26:P26"/>
    <mergeCell ref="I27:J27"/>
    <mergeCell ref="L27:M27"/>
    <mergeCell ref="O27:P27"/>
  </mergeCells>
  <conditionalFormatting sqref="G21">
    <cfRule type="cellIs" dxfId="0" priority="1" operator="lessThan">
      <formula>$D$24</formula>
    </cfRule>
  </conditionalFormatting>
  <conditionalFormatting sqref="G21">
    <cfRule type="cellIs" dxfId="1" priority="2" operator="greaterThan">
      <formula>$D$24</formula>
    </cfRule>
  </conditionalFormatting>
  <conditionalFormatting sqref="O28:P29">
    <cfRule type="cellIs" dxfId="1" priority="3" operator="greaterThan">
      <formula>$I$7</formula>
    </cfRule>
  </conditionalFormatting>
  <conditionalFormatting sqref="O28:P29">
    <cfRule type="cellIs" dxfId="0" priority="4" operator="lessThan">
      <formula>$I$7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2009-03-25T14:54:21Z</dcterms:created>
  <dc:creator>Vicki LaPlant</dc:creator>
</cp:coreProperties>
</file>