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c81cf8b0b74c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98c83b527094cb7"/>
    <x:sheet xmlns:r="http://schemas.openxmlformats.org/officeDocument/2006/relationships" name="Details" sheetId="2" r:id="R12a76e18a6514e10"/>
  </x:sheets>
  <x:definedNames>
    <x:definedName name="_xlnm._FilterDatabase" localSheetId="1" hidden="1">'Details'!$A$1:$K$49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"/>
    <x:numFmt numFmtId="165" formatCode="&quot;$&quot;#,##0"/>
  </x:numFmts>
  <x:fonts count="5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6"/>
      <x:color rgb="001F4E79"/>
    </x:font>
    <x:font>
      <x:i/>
      <x:color rgb="00666666"/>
    </x:font>
    <x:font>
      <x:b/>
      <x:color rgb="001F4E79"/>
    </x:font>
  </x:fonts>
  <x:fills count="4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D9E1F2"/>
      </x:patternFill>
    </x:fill>
  </x:fills>
  <x:borders count="2">
    <x:border>
      <x:left/>
      <x:right/>
      <x:top/>
      <x:bottom/>
      <x:diagonal/>
    </x:border>
    <x:border>
      <x:left style="thin">
        <x:color rgb="00D0D0D0"/>
      </x:left>
      <x:right style="thin">
        <x:color rgb="00D0D0D0"/>
      </x:right>
      <x:top style="thin">
        <x:color rgb="00D0D0D0"/>
      </x:top>
      <x:bottom style="thin">
        <x:color rgb="00D0D0D0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2" fillId="0" borderId="0" xfId="0" applyAlignment="1">
      <x:alignment horizontal="left" vertical="center"/>
    </x:xf>
    <x:xf numFmtId="0" fontId="3" fillId="0" borderId="0" xfId="0" applyAlignment="1">
      <x:alignment horizontal="left"/>
    </x:xf>
    <x:xf numFmtId="0" fontId="1" fillId="2" borderId="0" xfId="0" applyAlignment="1">
      <x:alignment horizontal="left" vertical="center"/>
    </x:xf>
    <x:xf numFmtId="0" fontId="4" fillId="3" borderId="1" xfId="0" applyAlignment="1">
      <x:alignment horizontal="center" vertical="center" wrapText="1"/>
    </x:xf>
    <x:xf numFmtId="164" fontId="0" fillId="0" borderId="1" xfId="0" applyAlignment="1">
      <x:alignment horizontal="center" vertical="center" wrapText="1"/>
    </x:xf>
    <x:xf numFmtId="165" fontId="0" fillId="0" borderId="1" xfId="0" applyAlignment="1">
      <x:alignment horizontal="right" vertical="center"/>
    </x:xf>
    <x:xf numFmtId="0" fontId="1" fillId="2" borderId="1" xfId="0" applyAlignment="1">
      <x:alignment horizontal="center" vertical="center" wrapText="1"/>
    </x:xf>
    <x:xf numFmtId="0" fontId="0" fillId="0" borderId="1" xfId="0" applyAlignment="1">
      <x:alignment horizontal="center" vertical="center" wrapText="1"/>
    </x:xf>
    <x:xf numFmtId="0" fontId="0" fillId="0" borderId="1" xfId="0" applyAlignment="1">
      <x:alignment horizontal="left" vertical="top" wrapText="1"/>
    </x:xf>
    <x:xf numFmtId="2" fontId="0" fillId="0" borderId="1" xfId="0" applyAlignment="1">
      <x:alignment horizontal="center" vertical="center" wrapText="1"/>
    </x:xf>
    <x:xf numFmtId="1" fontId="0" fillId="0" borderId="1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3c193a16bb4451" /><Relationship Type="http://schemas.openxmlformats.org/officeDocument/2006/relationships/theme" Target="/xl/theme/theme1.xml" Id="R8a792457f56848b7" /><Relationship Type="http://schemas.openxmlformats.org/officeDocument/2006/relationships/sharedStrings" Target="/xl/sharedStrings.xml" Id="R05fa0ca165e2456a" /><Relationship Type="http://schemas.openxmlformats.org/officeDocument/2006/relationships/worksheet" Target="/xl/worksheets/sheet1.xml" Id="Rd98c83b527094cb7" /><Relationship Type="http://schemas.openxmlformats.org/officeDocument/2006/relationships/worksheet" Target="/xl/worksheets/sheet2.xml" Id="R12a76e18a6514e10" /></Relationships>
</file>

<file path=xl/tables/table1.xml><?xml version="1.0" encoding="utf-8"?>
<x:table xmlns:x="http://schemas.openxmlformats.org/spreadsheetml/2006/main" id="1" name="DetailsTable" displayName="DetailsTable" ref="A1:K49" headerRowCount="1">
  <x:autoFilter ref="A1:K49"/>
  <x:tableColumns count="11">
    <x:tableColumn id="1" name="System Type"/>
    <x:tableColumn id="2" name="Tonnage"/>
    <x:tableColumn id="3" name="Tier"/>
    <x:tableColumn id="4" name="Monthly Payment"/>
    <x:tableColumn id="5" name="Total Investment"/>
    <x:tableColumn id="6" name="Package Unit"/>
    <x:tableColumn id="7" name="Heater Kit"/>
    <x:tableColumn id="8" name="Thermostat"/>
    <x:tableColumn id="9" name="Notes"/>
    <x:tableColumn id="10" name="APR"/>
    <x:tableColumn id="11" name="Term (Mos)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b71c1aa6fd40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customWidth="1"/>
    <x:col min="2" max="2" width="14" customWidth="1"/>
    <x:col min="3" max="3" width="12" customWidth="1"/>
    <x:col min="4" max="4" width="14" customWidth="1"/>
    <x:col min="5" max="5" width="12" customWidth="1"/>
    <x:col min="6" max="6" width="14" customWidth="1"/>
    <x:col min="7" max="7" width="12" customWidth="1"/>
    <x:col min="8" max="8" width="14" customWidth="1"/>
    <x:col min="9" max="9" width="12" customWidth="1"/>
  </x:cols>
  <x:sheetData>
    <x:row r="1" ht="24" customHeight="1">
      <x:c r="A1" s="1" t="inlineStr">
        <x:is>
          <x:t xml:space="preserve">Package Units Pricing Summary</x:t>
        </x:is>
      </x:c>
    </x:row>
    <x:row r="2">
      <x:c r="A2" s="2" t="inlineStr">
        <x:is>
          <x:t xml:space="preserve">Source: Package Units Salesbook (PDF)</x:t>
        </x:is>
      </x:c>
    </x:row>
    <x:row r="4" ht="20" customHeight="1">
      <x:c r="A4" s="3" t="inlineStr">
        <x:is>
          <x:t xml:space="preserve">PHP (Heat Pump Package)</x:t>
        </x:is>
      </x:c>
    </x:row>
    <x:row r="5" ht="30" customHeight="1">
      <x:c r="A5" s="4" t="inlineStr">
        <x:is>
          <x:t xml:space="preserve">Tonnage (Tons)</x:t>
        </x:is>
      </x:c>
      <x:c r="B5" s="4" t="inlineStr">
        <x:is>
          <x:t xml:space="preserve">Best Total</x:t>
        </x:is>
      </x:c>
      <x:c r="C5" s="4" t="inlineStr">
        <x:is>
          <x:t xml:space="preserve">Best $/MO</x:t>
        </x:is>
      </x:c>
      <x:c r="D5" s="4" t="inlineStr">
        <x:is>
          <x:t xml:space="preserve">Better Total</x:t>
        </x:is>
      </x:c>
      <x:c r="E5" s="4" t="inlineStr">
        <x:is>
          <x:t xml:space="preserve">Better $/MO</x:t>
        </x:is>
      </x:c>
      <x:c r="F5" s="4" t="inlineStr">
        <x:is>
          <x:t xml:space="preserve">Good Total</x:t>
        </x:is>
      </x:c>
      <x:c r="G5" s="4" t="inlineStr">
        <x:is>
          <x:t xml:space="preserve">Good $/MO</x:t>
        </x:is>
      </x:c>
      <x:c r="H5" s="4" t="inlineStr">
        <x:is>
          <x:t xml:space="preserve">Budget Total</x:t>
        </x:is>
      </x:c>
      <x:c r="I5" s="4" t="inlineStr">
        <x:is>
          <x:t xml:space="preserve">Budget $/MO</x:t>
        </x:is>
      </x:c>
    </x:row>
    <x:row r="6">
      <x:c r="A6" s="5" t="n">
        <x:v>2</x:v>
      </x:c>
      <x:c r="B6" s="6">
        <x:f>SUMIFS(Details!$E$2:$E$49,Details!$A$2:$A$49,"PHP",Details!$B$2:$B$49,$A6,Details!$C$2:$C$49,"Best")</x:f>
        <x:v>12689</x:v>
      </x:c>
      <x:c r="C6" s="6">
        <x:f>SUMIFS(Details!$D$2:$D$49,Details!$A$2:$A$49,"PHP",Details!$B$2:$B$49,$A6,Details!$C$2:$C$49,"Best")</x:f>
        <x:v>190</x:v>
      </x:c>
      <x:c r="D6" s="6">
        <x:f>SUMIFS(Details!$E$2:$E$49,Details!$A$2:$A$49,"PHP",Details!$B$2:$B$49,$A6,Details!$C$2:$C$49,"Better")</x:f>
        <x:v>11869</x:v>
      </x:c>
      <x:c r="E6" s="6">
        <x:f>SUMIFS(Details!$D$2:$D$49,Details!$A$2:$A$49,"PHP",Details!$B$2:$B$49,$A6,Details!$C$2:$C$49,"Better")</x:f>
        <x:v>178</x:v>
      </x:c>
      <x:c r="F6" s="6">
        <x:f>SUMIFS(Details!$E$2:$E$49,Details!$A$2:$A$49,"PHP",Details!$B$2:$B$49,$A6,Details!$C$2:$C$49,"Good")</x:f>
        <x:v>10076</x:v>
      </x:c>
      <x:c r="G6" s="6">
        <x:f>SUMIFS(Details!$D$2:$D$49,Details!$A$2:$A$49,"PHP",Details!$B$2:$B$49,$A6,Details!$C$2:$C$49,"Good")</x:f>
        <x:v>151</x:v>
      </x:c>
      <x:c r="H6" s="6">
        <x:f>SUMIFS(Details!$E$2:$E$49,Details!$A$2:$A$49,"PHP",Details!$B$2:$B$49,$A6,Details!$C$2:$C$49,"Budget")</x:f>
        <x:v>8622</x:v>
      </x:c>
      <x:c r="I6" s="6">
        <x:f>SUMIFS(Details!$D$2:$D$49,Details!$A$2:$A$49,"PHP",Details!$B$2:$B$49,$A6,Details!$C$2:$C$49,"Budget")</x:f>
        <x:v>129</x:v>
      </x:c>
    </x:row>
    <x:row r="7">
      <x:c r="A7" s="5" t="n">
        <x:v>2.5</x:v>
      </x:c>
      <x:c r="B7" s="6">
        <x:f>SUMIFS(Details!$E$2:$E$49,Details!$A$2:$A$49,"PHP",Details!$B$2:$B$49,$A7,Details!$C$2:$C$49,"Best")</x:f>
        <x:v>13174</x:v>
      </x:c>
      <x:c r="C7" s="6">
        <x:f>SUMIFS(Details!$D$2:$D$49,Details!$A$2:$A$49,"PHP",Details!$B$2:$B$49,$A7,Details!$C$2:$C$49,"Best")</x:f>
        <x:v>197</x:v>
      </x:c>
      <x:c r="D7" s="6">
        <x:f>SUMIFS(Details!$E$2:$E$49,Details!$A$2:$A$49,"PHP",Details!$B$2:$B$49,$A7,Details!$C$2:$C$49,"Better")</x:f>
        <x:v>12170</x:v>
      </x:c>
      <x:c r="E7" s="6">
        <x:f>SUMIFS(Details!$D$2:$D$49,Details!$A$2:$A$49,"PHP",Details!$B$2:$B$49,$A7,Details!$C$2:$C$49,"Better")</x:f>
        <x:v>182</x:v>
      </x:c>
      <x:c r="F7" s="6">
        <x:f>SUMIFS(Details!$E$2:$E$49,Details!$A$2:$A$49,"PHP",Details!$B$2:$B$49,$A7,Details!$C$2:$C$49,"Good")</x:f>
        <x:v>10763</x:v>
      </x:c>
      <x:c r="G7" s="6">
        <x:f>SUMIFS(Details!$D$2:$D$49,Details!$A$2:$A$49,"PHP",Details!$B$2:$B$49,$A7,Details!$C$2:$C$49,"Good")</x:f>
        <x:v>161</x:v>
      </x:c>
      <x:c r="H7" s="6">
        <x:f>SUMIFS(Details!$E$2:$E$49,Details!$A$2:$A$49,"PHP",Details!$B$2:$B$49,$A7,Details!$C$2:$C$49,"Budget")</x:f>
        <x:v>9025</x:v>
      </x:c>
      <x:c r="I7" s="6">
        <x:f>SUMIFS(Details!$D$2:$D$49,Details!$A$2:$A$49,"PHP",Details!$B$2:$B$49,$A7,Details!$C$2:$C$49,"Budget")</x:f>
        <x:v>135</x:v>
      </x:c>
    </x:row>
    <x:row r="8">
      <x:c r="A8" s="5" t="n">
        <x:v>3</x:v>
      </x:c>
      <x:c r="B8" s="6">
        <x:f>SUMIFS(Details!$E$2:$E$49,Details!$A$2:$A$49,"PHP",Details!$B$2:$B$49,$A8,Details!$C$2:$C$49,"Best")</x:f>
        <x:v>13709</x:v>
      </x:c>
      <x:c r="C8" s="6">
        <x:f>SUMIFS(Details!$D$2:$D$49,Details!$A$2:$A$49,"PHP",Details!$B$2:$B$49,$A8,Details!$C$2:$C$49,"Best")</x:f>
        <x:v>205</x:v>
      </x:c>
      <x:c r="D8" s="6">
        <x:f>SUMIFS(Details!$E$2:$E$49,Details!$A$2:$A$49,"PHP",Details!$B$2:$B$49,$A8,Details!$C$2:$C$49,"Better")</x:f>
        <x:v>12499</x:v>
      </x:c>
      <x:c r="E8" s="6">
        <x:f>SUMIFS(Details!$D$2:$D$49,Details!$A$2:$A$49,"PHP",Details!$B$2:$B$49,$A8,Details!$C$2:$C$49,"Better")</x:f>
        <x:v>187</x:v>
      </x:c>
      <x:c r="F8" s="6">
        <x:f>SUMIFS(Details!$E$2:$E$49,Details!$A$2:$A$49,"PHP",Details!$B$2:$B$49,$A8,Details!$C$2:$C$49,"Good")</x:f>
        <x:v>10948</x:v>
      </x:c>
      <x:c r="G8" s="6">
        <x:f>SUMIFS(Details!$D$2:$D$49,Details!$A$2:$A$49,"PHP",Details!$B$2:$B$49,$A8,Details!$C$2:$C$49,"Good")</x:f>
        <x:v>164</x:v>
      </x:c>
      <x:c r="H8" s="6">
        <x:f>SUMIFS(Details!$E$2:$E$49,Details!$A$2:$A$49,"PHP",Details!$B$2:$B$49,$A8,Details!$C$2:$C$49,"Budget")</x:f>
        <x:v>9643</x:v>
      </x:c>
      <x:c r="I8" s="6">
        <x:f>SUMIFS(Details!$D$2:$D$49,Details!$A$2:$A$49,"PHP",Details!$B$2:$B$49,$A8,Details!$C$2:$C$49,"Budget")</x:f>
        <x:v>144</x:v>
      </x:c>
    </x:row>
    <x:row r="9">
      <x:c r="A9" s="5" t="n">
        <x:v>3.5</x:v>
      </x:c>
      <x:c r="B9" s="6">
        <x:f>SUMIFS(Details!$E$2:$E$49,Details!$A$2:$A$49,"PHP",Details!$B$2:$B$49,$A9,Details!$C$2:$C$49,"Best")</x:f>
        <x:v>14159</x:v>
      </x:c>
      <x:c r="C9" s="6">
        <x:f>SUMIFS(Details!$D$2:$D$49,Details!$A$2:$A$49,"PHP",Details!$B$2:$B$49,$A9,Details!$C$2:$C$49,"Best")</x:f>
        <x:v>212</x:v>
      </x:c>
      <x:c r="D9" s="6">
        <x:f>SUMIFS(Details!$E$2:$E$49,Details!$A$2:$A$49,"PHP",Details!$B$2:$B$49,$A9,Details!$C$2:$C$49,"Better")</x:f>
        <x:v>12845</x:v>
      </x:c>
      <x:c r="E9" s="6">
        <x:f>SUMIFS(Details!$D$2:$D$49,Details!$A$2:$A$49,"PHP",Details!$B$2:$B$49,$A9,Details!$C$2:$C$49,"Better")</x:f>
        <x:v>192</x:v>
      </x:c>
      <x:c r="F9" s="6">
        <x:f>SUMIFS(Details!$E$2:$E$49,Details!$A$2:$A$49,"PHP",Details!$B$2:$B$49,$A9,Details!$C$2:$C$49,"Good")</x:f>
        <x:v>11886</x:v>
      </x:c>
      <x:c r="G9" s="6">
        <x:f>SUMIFS(Details!$D$2:$D$49,Details!$A$2:$A$49,"PHP",Details!$B$2:$B$49,$A9,Details!$C$2:$C$49,"Good")</x:f>
        <x:v>178</x:v>
      </x:c>
      <x:c r="H9" s="6">
        <x:f>SUMIFS(Details!$E$2:$E$49,Details!$A$2:$A$49,"PHP",Details!$B$2:$B$49,$A9,Details!$C$2:$C$49,"Budget")</x:f>
        <x:v>10128</x:v>
      </x:c>
      <x:c r="I9" s="6">
        <x:f>SUMIFS(Details!$D$2:$D$49,Details!$A$2:$A$49,"PHP",Details!$B$2:$B$49,$A9,Details!$C$2:$C$49,"Budget")</x:f>
        <x:v>152</x:v>
      </x:c>
    </x:row>
    <x:row r="10">
      <x:c r="A10" s="5" t="n">
        <x:v>4</x:v>
      </x:c>
      <x:c r="B10" s="6">
        <x:f>SUMIFS(Details!$E$2:$E$49,Details!$A$2:$A$49,"PHP",Details!$B$2:$B$49,$A10,Details!$C$2:$C$49,"Best")</x:f>
        <x:v>13699</x:v>
      </x:c>
      <x:c r="C10" s="6">
        <x:f>SUMIFS(Details!$D$2:$D$49,Details!$A$2:$A$49,"PHP",Details!$B$2:$B$49,$A10,Details!$C$2:$C$49,"Best")</x:f>
        <x:v>205</x:v>
      </x:c>
      <x:c r="D10" s="6">
        <x:f>SUMIFS(Details!$E$2:$E$49,Details!$A$2:$A$49,"PHP",Details!$B$2:$B$49,$A10,Details!$C$2:$C$49,"Better")</x:f>
        <x:v>12283</x:v>
      </x:c>
      <x:c r="E10" s="6">
        <x:f>SUMIFS(Details!$D$2:$D$49,Details!$A$2:$A$49,"PHP",Details!$B$2:$B$49,$A10,Details!$C$2:$C$49,"Better")</x:f>
        <x:v>184</x:v>
      </x:c>
      <x:c r="F10" s="6">
        <x:f>SUMIFS(Details!$E$2:$E$49,Details!$A$2:$A$49,"PHP",Details!$B$2:$B$49,$A10,Details!$C$2:$C$49,"Good")</x:f>
        <x:v>11736</x:v>
      </x:c>
      <x:c r="G10" s="6">
        <x:f>SUMIFS(Details!$D$2:$D$49,Details!$A$2:$A$49,"PHP",Details!$B$2:$B$49,$A10,Details!$C$2:$C$49,"Good")</x:f>
        <x:v>176</x:v>
      </x:c>
      <x:c r="H10" s="6">
        <x:f>SUMIFS(Details!$E$2:$E$49,Details!$A$2:$A$49,"PHP",Details!$B$2:$B$49,$A10,Details!$C$2:$C$49,"Budget")</x:f>
        <x:v>9737</x:v>
      </x:c>
      <x:c r="I10" s="6">
        <x:f>SUMIFS(Details!$D$2:$D$49,Details!$A$2:$A$49,"PHP",Details!$B$2:$B$49,$A10,Details!$C$2:$C$49,"Budget")</x:f>
        <x:v>146</x:v>
      </x:c>
    </x:row>
    <x:row r="11">
      <x:c r="A11" s="5" t="n">
        <x:v>5</x:v>
      </x:c>
      <x:c r="B11" s="6">
        <x:f>SUMIFS(Details!$E$2:$E$49,Details!$A$2:$A$49,"PHP",Details!$B$2:$B$49,$A11,Details!$C$2:$C$49,"Best")</x:f>
        <x:v>15647</x:v>
      </x:c>
      <x:c r="C11" s="6">
        <x:f>SUMIFS(Details!$D$2:$D$49,Details!$A$2:$A$49,"PHP",Details!$B$2:$B$49,$A11,Details!$C$2:$C$49,"Best")</x:f>
        <x:v>234</x:v>
      </x:c>
      <x:c r="D11" s="6">
        <x:f>SUMIFS(Details!$E$2:$E$49,Details!$A$2:$A$49,"PHP",Details!$B$2:$B$49,$A11,Details!$C$2:$C$49,"Better")</x:f>
        <x:v>14051</x:v>
      </x:c>
      <x:c r="E11" s="6">
        <x:f>SUMIFS(Details!$D$2:$D$49,Details!$A$2:$A$49,"PHP",Details!$B$2:$B$49,$A11,Details!$C$2:$C$49,"Better")</x:f>
        <x:v>210</x:v>
      </x:c>
      <x:c r="F11" s="6">
        <x:f>SUMIFS(Details!$E$2:$E$49,Details!$A$2:$A$49,"PHP",Details!$B$2:$B$49,$A11,Details!$C$2:$C$49,"Good")</x:f>
        <x:v>14306</x:v>
      </x:c>
      <x:c r="G11" s="6">
        <x:f>SUMIFS(Details!$D$2:$D$49,Details!$A$2:$A$49,"PHP",Details!$B$2:$B$49,$A11,Details!$C$2:$C$49,"Good")</x:f>
        <x:v>214</x:v>
      </x:c>
      <x:c r="H11" s="6">
        <x:f>SUMIFS(Details!$E$2:$E$49,Details!$A$2:$A$49,"PHP",Details!$B$2:$B$49,$A11,Details!$C$2:$C$49,"Budget")</x:f>
        <x:v>11270</x:v>
      </x:c>
      <x:c r="I11" s="6">
        <x:f>SUMIFS(Details!$D$2:$D$49,Details!$A$2:$A$49,"PHP",Details!$B$2:$B$49,$A11,Details!$C$2:$C$49,"Budget")</x:f>
        <x:v>169</x:v>
      </x:c>
    </x:row>
    <x:row r="13" ht="20" customHeight="1">
      <x:c r="A13" s="3" t="inlineStr">
        <x:is>
          <x:t xml:space="preserve">GP (Gas Package)</x:t>
        </x:is>
      </x:c>
    </x:row>
    <x:row r="14" ht="30" customHeight="1">
      <x:c r="A14" s="4" t="inlineStr">
        <x:is>
          <x:t xml:space="preserve">Tonnage (Tons)</x:t>
        </x:is>
      </x:c>
      <x:c r="B14" s="4" t="inlineStr">
        <x:is>
          <x:t xml:space="preserve">Best Total</x:t>
        </x:is>
      </x:c>
      <x:c r="C14" s="4" t="inlineStr">
        <x:is>
          <x:t xml:space="preserve">Best $/MO</x:t>
        </x:is>
      </x:c>
      <x:c r="D14" s="4" t="inlineStr">
        <x:is>
          <x:t xml:space="preserve">Better Total</x:t>
        </x:is>
      </x:c>
      <x:c r="E14" s="4" t="inlineStr">
        <x:is>
          <x:t xml:space="preserve">Better $/MO</x:t>
        </x:is>
      </x:c>
      <x:c r="F14" s="4" t="inlineStr">
        <x:is>
          <x:t xml:space="preserve">Good Total</x:t>
        </x:is>
      </x:c>
      <x:c r="G14" s="4" t="inlineStr">
        <x:is>
          <x:t xml:space="preserve">Good $/MO</x:t>
        </x:is>
      </x:c>
      <x:c r="H14" s="4" t="inlineStr">
        <x:is>
          <x:t xml:space="preserve">Budget Total</x:t>
        </x:is>
      </x:c>
      <x:c r="I14" s="4" t="inlineStr">
        <x:is>
          <x:t xml:space="preserve">Budget $/MO</x:t>
        </x:is>
      </x:c>
    </x:row>
    <x:row r="15">
      <x:c r="A15" s="5" t="n">
        <x:v>2</x:v>
      </x:c>
      <x:c r="B15" s="6">
        <x:f>SUMIFS(Details!$E$2:$E$49,Details!$A$2:$A$49,"GP",Details!$B$2:$B$49,$A15,Details!$C$2:$C$49,"Best")</x:f>
        <x:v>12400</x:v>
      </x:c>
      <x:c r="C15" s="6">
        <x:f>SUMIFS(Details!$D$2:$D$49,Details!$A$2:$A$49,"GP",Details!$B$2:$B$49,$A15,Details!$C$2:$C$49,"Best")</x:f>
        <x:v>186</x:v>
      </x:c>
      <x:c r="D15" s="6">
        <x:f>SUMIFS(Details!$E$2:$E$49,Details!$A$2:$A$49,"GP",Details!$B$2:$B$49,$A15,Details!$C$2:$C$49,"Better")</x:f>
        <x:v>11156</x:v>
      </x:c>
      <x:c r="E15" s="6">
        <x:f>SUMIFS(Details!$D$2:$D$49,Details!$A$2:$A$49,"GP",Details!$B$2:$B$49,$A15,Details!$C$2:$C$49,"Better")</x:f>
        <x:v>167</x:v>
      </x:c>
      <x:c r="F15" s="6">
        <x:f>SUMIFS(Details!$E$2:$E$49,Details!$A$2:$A$49,"GP",Details!$B$2:$B$49,$A15,Details!$C$2:$C$49,"Good")</x:f>
        <x:v>10289</x:v>
      </x:c>
      <x:c r="G15" s="6">
        <x:f>SUMIFS(Details!$D$2:$D$49,Details!$A$2:$A$49,"GP",Details!$B$2:$B$49,$A15,Details!$C$2:$C$49,"Good")</x:f>
        <x:v>154</x:v>
      </x:c>
      <x:c r="H15" s="6">
        <x:f>SUMIFS(Details!$E$2:$E$49,Details!$A$2:$A$49,"GP",Details!$B$2:$B$49,$A15,Details!$C$2:$C$49,"Budget")</x:f>
        <x:v>8075</x:v>
      </x:c>
      <x:c r="I15" s="6">
        <x:f>SUMIFS(Details!$D$2:$D$49,Details!$A$2:$A$49,"GP",Details!$B$2:$B$49,$A15,Details!$C$2:$C$49,"Budget")</x:f>
        <x:v>121</x:v>
      </x:c>
    </x:row>
    <x:row r="16">
      <x:c r="A16" s="5" t="n">
        <x:v>2.5</x:v>
      </x:c>
      <x:c r="B16" s="6">
        <x:f>SUMIFS(Details!$E$2:$E$49,Details!$A$2:$A$49,"GP",Details!$B$2:$B$49,$A16,Details!$C$2:$C$49,"Best")</x:f>
        <x:v>12679</x:v>
      </x:c>
      <x:c r="C16" s="6">
        <x:f>SUMIFS(Details!$D$2:$D$49,Details!$A$2:$A$49,"GP",Details!$B$2:$B$49,$A16,Details!$C$2:$C$49,"Best")</x:f>
        <x:v>190</x:v>
      </x:c>
      <x:c r="D16" s="6">
        <x:f>SUMIFS(Details!$E$2:$E$49,Details!$A$2:$A$49,"GP",Details!$B$2:$B$49,$A16,Details!$C$2:$C$49,"Better")</x:f>
        <x:v>11512</x:v>
      </x:c>
      <x:c r="E16" s="6">
        <x:f>SUMIFS(Details!$D$2:$D$49,Details!$A$2:$A$49,"GP",Details!$B$2:$B$49,$A16,Details!$C$2:$C$49,"Better")</x:f>
        <x:v>172</x:v>
      </x:c>
      <x:c r="F16" s="6">
        <x:f>SUMIFS(Details!$E$2:$E$49,Details!$A$2:$A$49,"GP",Details!$B$2:$B$49,$A16,Details!$C$2:$C$49,"Good")</x:f>
        <x:v>10789</x:v>
      </x:c>
      <x:c r="G16" s="6">
        <x:f>SUMIFS(Details!$D$2:$D$49,Details!$A$2:$A$49,"GP",Details!$B$2:$B$49,$A16,Details!$C$2:$C$49,"Good")</x:f>
        <x:v>162</x:v>
      </x:c>
      <x:c r="H16" s="6">
        <x:f>SUMIFS(Details!$E$2:$E$49,Details!$A$2:$A$49,"GP",Details!$B$2:$B$49,$A16,Details!$C$2:$C$49,"Budget")</x:f>
        <x:v>8444</x:v>
      </x:c>
      <x:c r="I16" s="6">
        <x:f>SUMIFS(Details!$D$2:$D$49,Details!$A$2:$A$49,"GP",Details!$B$2:$B$49,$A16,Details!$C$2:$C$49,"Budget")</x:f>
        <x:v>127</x:v>
      </x:c>
    </x:row>
    <x:row r="17">
      <x:c r="A17" s="5" t="n">
        <x:v>3</x:v>
      </x:c>
      <x:c r="B17" s="6">
        <x:f>SUMIFS(Details!$E$2:$E$49,Details!$A$2:$A$49,"GP",Details!$B$2:$B$49,$A17,Details!$C$2:$C$49,"Best")</x:f>
        <x:v>12956</x:v>
      </x:c>
      <x:c r="C17" s="6">
        <x:f>SUMIFS(Details!$D$2:$D$49,Details!$A$2:$A$49,"GP",Details!$B$2:$B$49,$A17,Details!$C$2:$C$49,"Best")</x:f>
        <x:v>194</x:v>
      </x:c>
      <x:c r="D17" s="6">
        <x:f>SUMIFS(Details!$E$2:$E$49,Details!$A$2:$A$49,"GP",Details!$B$2:$B$49,$A17,Details!$C$2:$C$49,"Better")</x:f>
        <x:v>11744</x:v>
      </x:c>
      <x:c r="E17" s="6">
        <x:f>SUMIFS(Details!$D$2:$D$49,Details!$A$2:$A$49,"GP",Details!$B$2:$B$49,$A17,Details!$C$2:$C$49,"Better")</x:f>
        <x:v>176</x:v>
      </x:c>
      <x:c r="F17" s="6">
        <x:f>SUMIFS(Details!$E$2:$E$49,Details!$A$2:$A$49,"GP",Details!$B$2:$B$49,$A17,Details!$C$2:$C$49,"Good")</x:f>
        <x:v>11147</x:v>
      </x:c>
      <x:c r="G17" s="6">
        <x:f>SUMIFS(Details!$D$2:$D$49,Details!$A$2:$A$49,"GP",Details!$B$2:$B$49,$A17,Details!$C$2:$C$49,"Good")</x:f>
        <x:v>167</x:v>
      </x:c>
      <x:c r="H17" s="6">
        <x:f>SUMIFS(Details!$E$2:$E$49,Details!$A$2:$A$49,"GP",Details!$B$2:$B$49,$A17,Details!$C$2:$C$49,"Budget")</x:f>
        <x:v>8703</x:v>
      </x:c>
      <x:c r="I17" s="6">
        <x:f>SUMIFS(Details!$D$2:$D$49,Details!$A$2:$A$49,"GP",Details!$B$2:$B$49,$A17,Details!$C$2:$C$49,"Budget")</x:f>
        <x:v>130</x:v>
      </x:c>
    </x:row>
    <x:row r="18">
      <x:c r="A18" s="5" t="n">
        <x:v>3.5</x:v>
      </x:c>
      <x:c r="B18" s="6">
        <x:f>SUMIFS(Details!$E$2:$E$49,Details!$A$2:$A$49,"GP",Details!$B$2:$B$49,$A18,Details!$C$2:$C$49,"Best")</x:f>
        <x:v>13515</x:v>
      </x:c>
      <x:c r="C18" s="6">
        <x:f>SUMIFS(Details!$D$2:$D$49,Details!$A$2:$A$49,"GP",Details!$B$2:$B$49,$A18,Details!$C$2:$C$49,"Best")</x:f>
        <x:v>202</x:v>
      </x:c>
      <x:c r="D18" s="6">
        <x:f>SUMIFS(Details!$E$2:$E$49,Details!$A$2:$A$49,"GP",Details!$B$2:$B$49,$A18,Details!$C$2:$C$49,"Better")</x:f>
        <x:v>11976</x:v>
      </x:c>
      <x:c r="E18" s="6">
        <x:f>SUMIFS(Details!$D$2:$D$49,Details!$A$2:$A$49,"GP",Details!$B$2:$B$49,$A18,Details!$C$2:$C$49,"Better")</x:f>
        <x:v>179</x:v>
      </x:c>
      <x:c r="F18" s="6">
        <x:f>SUMIFS(Details!$E$2:$E$49,Details!$A$2:$A$49,"GP",Details!$B$2:$B$49,$A18,Details!$C$2:$C$49,"Good")</x:f>
        <x:v>12068</x:v>
      </x:c>
      <x:c r="G18" s="6">
        <x:f>SUMIFS(Details!$D$2:$D$49,Details!$A$2:$A$49,"GP",Details!$B$2:$B$49,$A18,Details!$C$2:$C$49,"Good")</x:f>
        <x:v>181</x:v>
      </x:c>
      <x:c r="H18" s="6">
        <x:f>SUMIFS(Details!$E$2:$E$49,Details!$A$2:$A$49,"GP",Details!$B$2:$B$49,$A18,Details!$C$2:$C$49,"Budget")</x:f>
        <x:v>9645</x:v>
      </x:c>
      <x:c r="I18" s="6">
        <x:f>SUMIFS(Details!$D$2:$D$49,Details!$A$2:$A$49,"GP",Details!$B$2:$B$49,$A18,Details!$C$2:$C$49,"Budget")</x:f>
        <x:v>144</x:v>
      </x:c>
    </x:row>
    <x:row r="19">
      <x:c r="A19" s="5" t="n">
        <x:v>4</x:v>
      </x:c>
      <x:c r="B19" s="6">
        <x:f>SUMIFS(Details!$E$2:$E$49,Details!$A$2:$A$49,"GP",Details!$B$2:$B$49,$A19,Details!$C$2:$C$49,"Best")</x:f>
        <x:v>13852</x:v>
      </x:c>
      <x:c r="C19" s="6">
        <x:f>SUMIFS(Details!$D$2:$D$49,Details!$A$2:$A$49,"GP",Details!$B$2:$B$49,$A19,Details!$C$2:$C$49,"Best")</x:f>
        <x:v>207</x:v>
      </x:c>
      <x:c r="D19" s="6">
        <x:f>SUMIFS(Details!$E$2:$E$49,Details!$A$2:$A$49,"GP",Details!$B$2:$B$49,$A19,Details!$C$2:$C$49,"Better")</x:f>
        <x:v>13335</x:v>
      </x:c>
      <x:c r="E19" s="6">
        <x:f>SUMIFS(Details!$D$2:$D$49,Details!$A$2:$A$49,"GP",Details!$B$2:$B$49,$A19,Details!$C$2:$C$49,"Better")</x:f>
        <x:v>200</x:v>
      </x:c>
      <x:c r="F19" s="6">
        <x:f>SUMIFS(Details!$E$2:$E$49,Details!$A$2:$A$49,"GP",Details!$B$2:$B$49,$A19,Details!$C$2:$C$49,"Good")</x:f>
        <x:v>12459</x:v>
      </x:c>
      <x:c r="G19" s="6">
        <x:f>SUMIFS(Details!$D$2:$D$49,Details!$A$2:$A$49,"GP",Details!$B$2:$B$49,$A19,Details!$C$2:$C$49,"Good")</x:f>
        <x:v>186</x:v>
      </x:c>
      <x:c r="H19" s="6">
        <x:f>SUMIFS(Details!$E$2:$E$49,Details!$A$2:$A$49,"GP",Details!$B$2:$B$49,$A19,Details!$C$2:$C$49,"Budget")</x:f>
        <x:v>10024</x:v>
      </x:c>
      <x:c r="I19" s="6">
        <x:f>SUMIFS(Details!$D$2:$D$49,Details!$A$2:$A$49,"GP",Details!$B$2:$B$49,$A19,Details!$C$2:$C$49,"Budget")</x:f>
        <x:v>150</x:v>
      </x:c>
    </x:row>
    <x:row r="20">
      <x:c r="A20" s="5" t="n">
        <x:v>5</x:v>
      </x:c>
      <x:c r="B20" s="6">
        <x:f>SUMIFS(Details!$E$2:$E$49,Details!$A$2:$A$49,"GP",Details!$B$2:$B$49,$A20,Details!$C$2:$C$49,"Best")</x:f>
        <x:v>14633</x:v>
      </x:c>
      <x:c r="C20" s="6">
        <x:f>SUMIFS(Details!$D$2:$D$49,Details!$A$2:$A$49,"GP",Details!$B$2:$B$49,$A20,Details!$C$2:$C$49,"Best")</x:f>
        <x:v>219</x:v>
      </x:c>
      <x:c r="D20" s="6">
        <x:f>SUMIFS(Details!$E$2:$E$49,Details!$A$2:$A$49,"GP",Details!$B$2:$B$49,$A20,Details!$C$2:$C$49,"Better")</x:f>
        <x:v>14342</x:v>
      </x:c>
      <x:c r="E20" s="6">
        <x:f>SUMIFS(Details!$D$2:$D$49,Details!$A$2:$A$49,"GP",Details!$B$2:$B$49,$A20,Details!$C$2:$C$49,"Better")</x:f>
        <x:v>215</x:v>
      </x:c>
      <x:c r="F20" s="6">
        <x:f>SUMIFS(Details!$E$2:$E$49,Details!$A$2:$A$49,"GP",Details!$B$2:$B$49,$A20,Details!$C$2:$C$49,"Good")</x:f>
        <x:v>13281</x:v>
      </x:c>
      <x:c r="G20" s="6">
        <x:f>SUMIFS(Details!$D$2:$D$49,Details!$A$2:$A$49,"GP",Details!$B$2:$B$49,$A20,Details!$C$2:$C$49,"Good")</x:f>
        <x:v>199</x:v>
      </x:c>
      <x:c r="H20" s="6">
        <x:f>SUMIFS(Details!$E$2:$E$49,Details!$A$2:$A$49,"GP",Details!$B$2:$B$49,$A20,Details!$C$2:$C$49,"Budget")</x:f>
        <x:v>10526</x:v>
      </x:c>
      <x:c r="I20" s="6">
        <x:f>SUMIFS(Details!$D$2:$D$49,Details!$A$2:$A$49,"GP",Details!$B$2:$B$49,$A20,Details!$C$2:$C$49,"Budget")</x:f>
        <x:v>158</x:v>
      </x:c>
    </x:row>
  </x:sheetData>
  <x:mergeCells>
    <x:mergeCell ref="A1:I1"/>
    <x:mergeCell ref="A4:I4"/>
    <x:mergeCell ref="A13:I13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customWidth="1"/>
    <x:col min="2" max="2" width="9" customWidth="1"/>
    <x:col min="3" max="3" width="10" customWidth="1"/>
    <x:col min="4" max="4" width="16" customWidth="1"/>
    <x:col min="5" max="5" width="18" customWidth="1"/>
    <x:col min="6" max="6" width="24" customWidth="1"/>
    <x:col min="7" max="7" width="22" customWidth="1"/>
    <x:col min="8" max="8" width="26" customWidth="1"/>
    <x:col min="9" max="9" width="45" customWidth="1"/>
    <x:col min="10" max="10" width="8" customWidth="1"/>
    <x:col min="11" max="11" width="10" customWidth="1"/>
  </x:cols>
  <x:sheetData>
    <x:row r="1">
      <x:c r="A1" s="7" t="inlineStr">
        <x:is>
          <x:t xml:space="preserve">System Type</x:t>
        </x:is>
      </x:c>
      <x:c r="B1" s="7" t="inlineStr">
        <x:is>
          <x:t xml:space="preserve">Tonnage</x:t>
        </x:is>
      </x:c>
      <x:c r="C1" s="7" t="inlineStr">
        <x:is>
          <x:t xml:space="preserve">Tier</x:t>
        </x:is>
      </x:c>
      <x:c r="D1" s="7" t="inlineStr">
        <x:is>
          <x:t xml:space="preserve">Monthly Payment</x:t>
        </x:is>
      </x:c>
      <x:c r="E1" s="7" t="inlineStr">
        <x:is>
          <x:t xml:space="preserve">Total Investment</x:t>
        </x:is>
      </x:c>
      <x:c r="F1" s="7" t="inlineStr">
        <x:is>
          <x:t xml:space="preserve">Package Unit</x:t>
        </x:is>
      </x:c>
      <x:c r="G1" s="7" t="inlineStr">
        <x:is>
          <x:t xml:space="preserve">Heater Kit</x:t>
        </x:is>
      </x:c>
      <x:c r="H1" s="7" t="inlineStr">
        <x:is>
          <x:t xml:space="preserve">Thermostat</x:t>
        </x:is>
      </x:c>
      <x:c r="I1" s="7" t="inlineStr">
        <x:is>
          <x:t xml:space="preserve">Notes</x:t>
        </x:is>
      </x:c>
      <x:c r="J1" s="7" t="inlineStr">
        <x:is>
          <x:t xml:space="preserve">APR</x:t>
        </x:is>
      </x:c>
      <x:c r="K1" s="7" t="inlineStr">
        <x:is>
          <x:t xml:space="preserve">Term (Mos)</x:t>
        </x:is>
      </x:c>
    </x:row>
    <x:row r="2">
      <x:c r="A2" s="8" t="inlineStr">
        <x:is>
          <x:t xml:space="preserve">PHP</x:t>
        </x:is>
      </x:c>
      <x:c r="B2" s="5" t="n">
        <x:v>2</x:v>
      </x:c>
      <x:c r="C2" s="8" t="inlineStr">
        <x:is>
          <x:t xml:space="preserve">Best</x:t>
        </x:is>
      </x:c>
      <x:c r="D2" s="6" t="n">
        <x:v>190</x:v>
      </x:c>
      <x:c r="E2" s="6" t="n">
        <x:v>12689</x:v>
      </x:c>
      <x:c r="F2" s="9" t="inlineStr">
        <x:is>
          <x:t xml:space="preserve">Trane 5WCZ5024A1000</x:t>
        </x:is>
      </x:c>
      <x:c r="G2" s="9" t="inlineStr">
        <x:is>
          <x:t xml:space="preserve">Trane BAYHTRG105A</x:t>
        </x:is>
      </x:c>
      <x:c r="H2" s="9" t="inlineStr">
        <x:is>
          <x:t xml:space="preserve">Trane TCONT824AS52DA</x:t>
        </x:is>
      </x:c>
      <x:c r="I2" s="9" t="inlineStr">
        <x:is>
          <x:t xml:space="preserve">5WCZ5 15 Series; Two Stage; Heat Pump Package; XL824; Connected Control</x:t>
        </x:is>
      </x:c>
      <x:c r="J2" s="10" t="n">
        <x:v>12.99</x:v>
      </x:c>
      <x:c r="K2" s="11" t="n">
        <x:v>120</x:v>
      </x:c>
    </x:row>
    <x:row r="3">
      <x:c r="A3" s="8" t="inlineStr">
        <x:is>
          <x:t xml:space="preserve">PHP</x:t>
        </x:is>
      </x:c>
      <x:c r="B3" s="5" t="n">
        <x:v>2</x:v>
      </x:c>
      <x:c r="C3" s="8" t="inlineStr">
        <x:is>
          <x:t xml:space="preserve">Better</x:t>
        </x:is>
      </x:c>
      <x:c r="D3" s="6" t="n">
        <x:v>178</x:v>
      </x:c>
      <x:c r="E3" s="6" t="n">
        <x:v>11869</x:v>
      </x:c>
      <x:c r="F3" s="9" t="inlineStr">
        <x:is>
          <x:t xml:space="preserve">Trane 5WCC4024A1000</x:t>
        </x:is>
      </x:c>
      <x:c r="G3" s="9" t="inlineStr">
        <x:is>
          <x:t xml:space="preserve">Ameristar BAYHTRG105A</x:t>
        </x:is>
      </x:c>
      <x:c r="H3" s="9" t="inlineStr">
        <x:is>
          <x:t xml:space="preserve">Trane TCONT724AS42DA</x:t>
        </x:is>
      </x:c>
      <x:c r="I3" s="9" t="inlineStr">
        <x:is>
          <x:t xml:space="preserve">5WCC4 Series; Single Stage; Heat Pump Package; Wi-Fi Connected Control; 5/2 Simple and Easy</x:t>
        </x:is>
      </x:c>
      <x:c r="J3" s="10" t="n">
        <x:v>12.99</x:v>
      </x:c>
      <x:c r="K3" s="11" t="n">
        <x:v>120</x:v>
      </x:c>
    </x:row>
    <x:row r="4">
      <x:c r="A4" s="8" t="inlineStr">
        <x:is>
          <x:t xml:space="preserve">PHP</x:t>
        </x:is>
      </x:c>
      <x:c r="B4" s="5" t="n">
        <x:v>2</x:v>
      </x:c>
      <x:c r="C4" s="8" t="inlineStr">
        <x:is>
          <x:t xml:space="preserve">Good</x:t>
        </x:is>
      </x:c>
      <x:c r="D4" s="6" t="n">
        <x:v>151</x:v>
      </x:c>
      <x:c r="E4" s="6" t="n">
        <x:v>10076</x:v>
      </x:c>
      <x:c r="F4" s="9" t="inlineStr">
        <x:is>
          <x:t xml:space="preserve">Carrier 50NT-B24---3</x:t>
        </x:is>
      </x:c>
      <x:c r="G4" s="9" t="inlineStr">
        <x:is>
          <x:t xml:space="preserve">Carrier CP-052A00-05N1</x:t>
        </x:is>
      </x:c>
      <x:c r="H4" s="9" t="inlineStr">
        <x:is>
          <x:t xml:space="preserve">Carrier EB-STATE3LTICR-01</x:t>
        </x:is>
      </x:c>
      <x:c r="I4" s="9" t="inlineStr">
        <x:is>
          <x:t xml:space="preserve">Comfort Series; Single-Stage; Single-Packaged Heat Pump; 10 year limited parts warranty upon timely; Registration must be completed within 90; Ecobee3 Lite Pro Powered by; 5 Year Warranty</x:t>
        </x:is>
      </x:c>
      <x:c r="J4" s="10" t="n">
        <x:v>12.99</x:v>
      </x:c>
      <x:c r="K4" s="11" t="n">
        <x:v>120</x:v>
      </x:c>
    </x:row>
    <x:row r="5">
      <x:c r="A5" s="8" t="inlineStr">
        <x:is>
          <x:t xml:space="preserve">PHP</x:t>
        </x:is>
      </x:c>
      <x:c r="B5" s="5" t="n">
        <x:v>2</x:v>
      </x:c>
      <x:c r="C5" s="8" t="inlineStr">
        <x:is>
          <x:t xml:space="preserve">Budget</x:t>
        </x:is>
      </x:c>
      <x:c r="D5" s="6" t="n">
        <x:v>129</x:v>
      </x:c>
      <x:c r="E5" s="6" t="n">
        <x:v>8622</x:v>
      </x:c>
      <x:c r="F5" s="9" t="inlineStr">
        <x:is>
          <x:t xml:space="preserve">RunTru A5PH3024A1000</x:t>
        </x:is>
      </x:c>
      <x:c r="G5" s="9" t="inlineStr">
        <x:is>
          <x:t xml:space="preserve">Ameristar BAYHTRG105A</x:t>
        </x:is>
      </x:c>
      <x:c r="H5" s="9" t="inlineStr">
        <x:is>
          <x:t xml:space="preserve">Trane TCONT724AS42DA</x:t>
        </x:is>
      </x:c>
      <x:c r="I5" s="9" t="inlineStr">
        <x:is>
          <x:t xml:space="preserve">A5PA3 Series; Single Stage; Cooling Electric Heat; 10 Year Manufacture Warranty; Wi-Fi Connected Control; 5/2 Simple and Easy</x:t>
        </x:is>
      </x:c>
      <x:c r="J5" s="10" t="n">
        <x:v>12.99</x:v>
      </x:c>
      <x:c r="K5" s="11" t="n">
        <x:v>120</x:v>
      </x:c>
    </x:row>
    <x:row r="6">
      <x:c r="A6" s="8" t="inlineStr">
        <x:is>
          <x:t xml:space="preserve">PHP</x:t>
        </x:is>
      </x:c>
      <x:c r="B6" s="5" t="n">
        <x:v>2.5</x:v>
      </x:c>
      <x:c r="C6" s="8" t="inlineStr">
        <x:is>
          <x:t xml:space="preserve">Best</x:t>
        </x:is>
      </x:c>
      <x:c r="D6" s="6" t="n">
        <x:v>197</x:v>
      </x:c>
      <x:c r="E6" s="6" t="n">
        <x:v>13174</x:v>
      </x:c>
      <x:c r="F6" s="9" t="inlineStr">
        <x:is>
          <x:t xml:space="preserve">Trane 5WCZ5030A1000</x:t>
        </x:is>
      </x:c>
      <x:c r="G6" s="9" t="inlineStr">
        <x:is>
          <x:t xml:space="preserve">Trane BAYHTRG108A</x:t>
        </x:is>
      </x:c>
      <x:c r="H6" s="9" t="inlineStr">
        <x:is>
          <x:t xml:space="preserve">Trane TCONT824AS52DA</x:t>
        </x:is>
      </x:c>
      <x:c r="I6" s="9" t="inlineStr">
        <x:is>
          <x:t xml:space="preserve">5WCZ5 15 Series; Two Stage; Heat Pump Package; XL824; Connected Control</x:t>
        </x:is>
      </x:c>
      <x:c r="J6" s="10" t="n">
        <x:v>12.99</x:v>
      </x:c>
      <x:c r="K6" s="11" t="n">
        <x:v>120</x:v>
      </x:c>
    </x:row>
    <x:row r="7">
      <x:c r="A7" s="8" t="inlineStr">
        <x:is>
          <x:t xml:space="preserve">PHP</x:t>
        </x:is>
      </x:c>
      <x:c r="B7" s="5" t="n">
        <x:v>2.5</x:v>
      </x:c>
      <x:c r="C7" s="8" t="inlineStr">
        <x:is>
          <x:t xml:space="preserve">Better</x:t>
        </x:is>
      </x:c>
      <x:c r="D7" s="6" t="n">
        <x:v>182</x:v>
      </x:c>
      <x:c r="E7" s="6" t="n">
        <x:v>12170</x:v>
      </x:c>
      <x:c r="F7" s="9" t="inlineStr">
        <x:is>
          <x:t xml:space="preserve">Trane 5WCC4030A1000</x:t>
        </x:is>
      </x:c>
      <x:c r="G7" s="9" t="inlineStr">
        <x:is>
          <x:t xml:space="preserve">Ameristar BAYHTRG108A</x:t>
        </x:is>
      </x:c>
      <x:c r="H7" s="9" t="inlineStr">
        <x:is>
          <x:t xml:space="preserve">Trane TCONT724AS42DA</x:t>
        </x:is>
      </x:c>
      <x:c r="I7" s="9" t="inlineStr">
        <x:is>
          <x:t xml:space="preserve">5WCC4 Series; Single Stage; Heat Pump Package; Wi-Fi Connected Control; 5/2 Simple and Easy</x:t>
        </x:is>
      </x:c>
      <x:c r="J7" s="10" t="n">
        <x:v>12.99</x:v>
      </x:c>
      <x:c r="K7" s="11" t="n">
        <x:v>120</x:v>
      </x:c>
    </x:row>
    <x:row r="8">
      <x:c r="A8" s="8" t="inlineStr">
        <x:is>
          <x:t xml:space="preserve">PHP</x:t>
        </x:is>
      </x:c>
      <x:c r="B8" s="5" t="n">
        <x:v>2.5</x:v>
      </x:c>
      <x:c r="C8" s="8" t="inlineStr">
        <x:is>
          <x:t xml:space="preserve">Good</x:t>
        </x:is>
      </x:c>
      <x:c r="D8" s="6" t="n">
        <x:v>161</x:v>
      </x:c>
      <x:c r="E8" s="6" t="n">
        <x:v>10763</x:v>
      </x:c>
      <x:c r="F8" s="9" t="inlineStr">
        <x:is>
          <x:t xml:space="preserve">Carrier 50NT-B30---3</x:t>
        </x:is>
      </x:c>
      <x:c r="G8" s="9" t="inlineStr">
        <x:is>
          <x:t xml:space="preserve">Carrier CP-069A00-07N1</x:t>
        </x:is>
      </x:c>
      <x:c r="H8" s="9" t="inlineStr">
        <x:is>
          <x:t xml:space="preserve">Carrier EB-STATE3LTICR-01</x:t>
        </x:is>
      </x:c>
      <x:c r="I8" s="9" t="inlineStr">
        <x:is>
          <x:t xml:space="preserve">Comfort Series; Single-Stage; Single-Packaged Heat Pump; 10 year limited parts warranty upon timely; Registration must be completed within 90; Ecobee3 Lite Pro Powered by; 5 Year Warranty</x:t>
        </x:is>
      </x:c>
      <x:c r="J8" s="10" t="n">
        <x:v>12.99</x:v>
      </x:c>
      <x:c r="K8" s="11" t="n">
        <x:v>120</x:v>
      </x:c>
    </x:row>
    <x:row r="9">
      <x:c r="A9" s="8" t="inlineStr">
        <x:is>
          <x:t xml:space="preserve">PHP</x:t>
        </x:is>
      </x:c>
      <x:c r="B9" s="5" t="n">
        <x:v>2.5</x:v>
      </x:c>
      <x:c r="C9" s="8" t="inlineStr">
        <x:is>
          <x:t xml:space="preserve">Budget</x:t>
        </x:is>
      </x:c>
      <x:c r="D9" s="6" t="n">
        <x:v>135</x:v>
      </x:c>
      <x:c r="E9" s="6" t="n">
        <x:v>9025</x:v>
      </x:c>
      <x:c r="F9" s="9" t="inlineStr">
        <x:is>
          <x:t xml:space="preserve">RunTru A5PH3030A1000</x:t>
        </x:is>
      </x:c>
      <x:c r="G9" s="9" t="inlineStr">
        <x:is>
          <x:t xml:space="preserve">Trane BAYHTRG108A</x:t>
        </x:is>
      </x:c>
      <x:c r="H9" s="9" t="inlineStr">
        <x:is>
          <x:t xml:space="preserve">Trane TCONT724AS42DA</x:t>
        </x:is>
      </x:c>
      <x:c r="I9" s="9" t="inlineStr">
        <x:is>
          <x:t xml:space="preserve">A5PA3 Series; Single Stage; Cooling Electric Heat; 10 Year Manufacture Warranty; Wi-Fi Connected Control; 5/2 Simple and Easy</x:t>
        </x:is>
      </x:c>
      <x:c r="J9" s="10" t="n">
        <x:v>12.99</x:v>
      </x:c>
      <x:c r="K9" s="11" t="n">
        <x:v>120</x:v>
      </x:c>
    </x:row>
    <x:row r="10">
      <x:c r="A10" s="8" t="inlineStr">
        <x:is>
          <x:t xml:space="preserve">PHP</x:t>
        </x:is>
      </x:c>
      <x:c r="B10" s="5" t="n">
        <x:v>3</x:v>
      </x:c>
      <x:c r="C10" s="8" t="inlineStr">
        <x:is>
          <x:t xml:space="preserve">Best</x:t>
        </x:is>
      </x:c>
      <x:c r="D10" s="6" t="n">
        <x:v>205</x:v>
      </x:c>
      <x:c r="E10" s="6" t="n">
        <x:v>13709</x:v>
      </x:c>
      <x:c r="F10" s="9" t="inlineStr">
        <x:is>
          <x:t xml:space="preserve">Trane 5WCZ5036A1000</x:t>
        </x:is>
      </x:c>
      <x:c r="G10" s="9" t="inlineStr">
        <x:is>
          <x:t xml:space="preserve">Trane BAYHTRG110A</x:t>
        </x:is>
      </x:c>
      <x:c r="H10" s="9" t="inlineStr">
        <x:is>
          <x:t xml:space="preserve">Trane TCONT824AS52DA</x:t>
        </x:is>
      </x:c>
      <x:c r="I10" s="9" t="inlineStr">
        <x:is>
          <x:t xml:space="preserve">5WCZ5 15 Series; Two Stage; Heat Pump Package; XL824; Connected Control</x:t>
        </x:is>
      </x:c>
      <x:c r="J10" s="10" t="n">
        <x:v>12.99</x:v>
      </x:c>
      <x:c r="K10" s="11" t="n">
        <x:v>120</x:v>
      </x:c>
    </x:row>
    <x:row r="11">
      <x:c r="A11" s="8" t="inlineStr">
        <x:is>
          <x:t xml:space="preserve">PHP</x:t>
        </x:is>
      </x:c>
      <x:c r="B11" s="5" t="n">
        <x:v>3</x:v>
      </x:c>
      <x:c r="C11" s="8" t="inlineStr">
        <x:is>
          <x:t xml:space="preserve">Better</x:t>
        </x:is>
      </x:c>
      <x:c r="D11" s="6" t="n">
        <x:v>187</x:v>
      </x:c>
      <x:c r="E11" s="6" t="n">
        <x:v>12499</x:v>
      </x:c>
      <x:c r="F11" s="9" t="inlineStr">
        <x:is>
          <x:t xml:space="preserve">Trane 5WCC4036A1000</x:t>
        </x:is>
      </x:c>
      <x:c r="G11" s="9" t="inlineStr">
        <x:is>
          <x:t xml:space="preserve">Ameristar BAYHTRG110A</x:t>
        </x:is>
      </x:c>
      <x:c r="H11" s="9" t="inlineStr">
        <x:is>
          <x:t xml:space="preserve">Trane TCONT724AS42DA</x:t>
        </x:is>
      </x:c>
      <x:c r="I11" s="9" t="inlineStr">
        <x:is>
          <x:t xml:space="preserve">5WCC4 Series; Single Stage; Heat Pump Package; Wi-Fi Connected Control; 5/2 Simple and Easy</x:t>
        </x:is>
      </x:c>
      <x:c r="J11" s="10" t="n">
        <x:v>12.99</x:v>
      </x:c>
      <x:c r="K11" s="11" t="n">
        <x:v>120</x:v>
      </x:c>
    </x:row>
    <x:row r="12">
      <x:c r="A12" s="8" t="inlineStr">
        <x:is>
          <x:t xml:space="preserve">PHP</x:t>
        </x:is>
      </x:c>
      <x:c r="B12" s="5" t="n">
        <x:v>3</x:v>
      </x:c>
      <x:c r="C12" s="8" t="inlineStr">
        <x:is>
          <x:t xml:space="preserve">Good</x:t>
        </x:is>
      </x:c>
      <x:c r="D12" s="6" t="n">
        <x:v>164</x:v>
      </x:c>
      <x:c r="E12" s="6" t="n">
        <x:v>10948</x:v>
      </x:c>
      <x:c r="F12" s="9" t="inlineStr">
        <x:is>
          <x:t xml:space="preserve">Carrier 50NT-B36---3</x:t>
        </x:is>
      </x:c>
      <x:c r="G12" s="9" t="inlineStr">
        <x:is>
          <x:t xml:space="preserve">Carrier CP-065A00-10N1</x:t>
        </x:is>
      </x:c>
      <x:c r="H12" s="9" t="inlineStr">
        <x:is>
          <x:t xml:space="preserve">Carrier EB-STATE3LTICR-01</x:t>
        </x:is>
      </x:c>
      <x:c r="I12" s="9" t="inlineStr">
        <x:is>
          <x:t xml:space="preserve">Comfort Series; Single-Stage; Single-Packaged Heat Pump; 10 year limited parts warranty upon timely; Registration must be completed within 90; Ecobee3 Lite Pro Powered by; 5 Year Warranty</x:t>
        </x:is>
      </x:c>
      <x:c r="J12" s="10" t="n">
        <x:v>12.99</x:v>
      </x:c>
      <x:c r="K12" s="11" t="n">
        <x:v>120</x:v>
      </x:c>
    </x:row>
    <x:row r="13">
      <x:c r="A13" s="8" t="inlineStr">
        <x:is>
          <x:t xml:space="preserve">PHP</x:t>
        </x:is>
      </x:c>
      <x:c r="B13" s="5" t="n">
        <x:v>3</x:v>
      </x:c>
      <x:c r="C13" s="8" t="inlineStr">
        <x:is>
          <x:t xml:space="preserve">Budget</x:t>
        </x:is>
      </x:c>
      <x:c r="D13" s="6" t="n">
        <x:v>144</x:v>
      </x:c>
      <x:c r="E13" s="6" t="n">
        <x:v>9643</x:v>
      </x:c>
      <x:c r="F13" s="9" t="inlineStr">
        <x:is>
          <x:t xml:space="preserve">RunTru A5PH3036A1000</x:t>
        </x:is>
      </x:c>
      <x:c r="G13" s="9" t="inlineStr">
        <x:is>
          <x:t xml:space="preserve">Ameristar BAYHTRG110A</x:t>
        </x:is>
      </x:c>
      <x:c r="H13" s="9" t="inlineStr">
        <x:is>
          <x:t xml:space="preserve">Trane TCONT724AS42DA</x:t>
        </x:is>
      </x:c>
      <x:c r="I13" s="9" t="inlineStr">
        <x:is>
          <x:t xml:space="preserve">A5PA3 Series; Single Stage; Cooling Electric Heat; 10 Year Manufacture Warranty; Wi-Fi Connected Control; 5/2 Simple and Easy</x:t>
        </x:is>
      </x:c>
      <x:c r="J13" s="10" t="n">
        <x:v>12.99</x:v>
      </x:c>
      <x:c r="K13" s="11" t="n">
        <x:v>120</x:v>
      </x:c>
    </x:row>
    <x:row r="14">
      <x:c r="A14" s="8" t="inlineStr">
        <x:is>
          <x:t xml:space="preserve">PHP</x:t>
        </x:is>
      </x:c>
      <x:c r="B14" s="5" t="n">
        <x:v>3.5</x:v>
      </x:c>
      <x:c r="C14" s="8" t="inlineStr">
        <x:is>
          <x:t xml:space="preserve">Best</x:t>
        </x:is>
      </x:c>
      <x:c r="D14" s="6" t="n">
        <x:v>212</x:v>
      </x:c>
      <x:c r="E14" s="6" t="n">
        <x:v>14159</x:v>
      </x:c>
      <x:c r="F14" s="9" t="inlineStr">
        <x:is>
          <x:t xml:space="preserve">Trane 5WCZ5042A1000</x:t>
        </x:is>
      </x:c>
      <x:c r="G14" s="9" t="inlineStr">
        <x:is>
          <x:t xml:space="preserve">Trane BAYHTRG110A</x:t>
        </x:is>
      </x:c>
      <x:c r="H14" s="9" t="inlineStr">
        <x:is>
          <x:t xml:space="preserve">Trane TCONT824AS52DA</x:t>
        </x:is>
      </x:c>
      <x:c r="I14" s="9" t="inlineStr">
        <x:is>
          <x:t xml:space="preserve">5WCZ5 15 Series; Two Stage; Heat Pump Package; XL824; Connected Control</x:t>
        </x:is>
      </x:c>
      <x:c r="J14" s="10" t="n">
        <x:v>12.99</x:v>
      </x:c>
      <x:c r="K14" s="11" t="n">
        <x:v>120</x:v>
      </x:c>
    </x:row>
    <x:row r="15">
      <x:c r="A15" s="8" t="inlineStr">
        <x:is>
          <x:t xml:space="preserve">PHP</x:t>
        </x:is>
      </x:c>
      <x:c r="B15" s="5" t="n">
        <x:v>3.5</x:v>
      </x:c>
      <x:c r="C15" s="8" t="inlineStr">
        <x:is>
          <x:t xml:space="preserve">Better</x:t>
        </x:is>
      </x:c>
      <x:c r="D15" s="6" t="n">
        <x:v>192</x:v>
      </x:c>
      <x:c r="E15" s="6" t="n">
        <x:v>12845</x:v>
      </x:c>
      <x:c r="F15" s="9" t="inlineStr">
        <x:is>
          <x:t xml:space="preserve">Trane 5WCC4042A1000</x:t>
        </x:is>
      </x:c>
      <x:c r="G15" s="9" t="inlineStr">
        <x:is>
          <x:t xml:space="preserve">Ameristar BAYHTRG110A</x:t>
        </x:is>
      </x:c>
      <x:c r="H15" s="9" t="inlineStr">
        <x:is>
          <x:t xml:space="preserve">Trane TCONT724AS42DA</x:t>
        </x:is>
      </x:c>
      <x:c r="I15" s="9" t="inlineStr">
        <x:is>
          <x:t xml:space="preserve">5WCC4 Series; Single Stage; Heat Pump Package; Wi-Fi Connected Control; 5/2 Simple and Easy</x:t>
        </x:is>
      </x:c>
      <x:c r="J15" s="10" t="n">
        <x:v>12.99</x:v>
      </x:c>
      <x:c r="K15" s="11" t="n">
        <x:v>120</x:v>
      </x:c>
    </x:row>
    <x:row r="16">
      <x:c r="A16" s="8" t="inlineStr">
        <x:is>
          <x:t xml:space="preserve">PHP</x:t>
        </x:is>
      </x:c>
      <x:c r="B16" s="5" t="n">
        <x:v>3.5</x:v>
      </x:c>
      <x:c r="C16" s="8" t="inlineStr">
        <x:is>
          <x:t xml:space="preserve">Good</x:t>
        </x:is>
      </x:c>
      <x:c r="D16" s="6" t="n">
        <x:v>178</x:v>
      </x:c>
      <x:c r="E16" s="6" t="n">
        <x:v>11886</x:v>
      </x:c>
      <x:c r="F16" s="9" t="inlineStr">
        <x:is>
          <x:t xml:space="preserve">Carrier 50NT-B42---3</x:t>
        </x:is>
      </x:c>
      <x:c r="G16" s="9" t="inlineStr">
        <x:is>
          <x:t xml:space="preserve">Carrier CP-065A00-10N1</x:t>
        </x:is>
      </x:c>
      <x:c r="H16" s="9" t="inlineStr">
        <x:is>
          <x:t xml:space="preserve">Carrier EB-STATE3LTICR-01</x:t>
        </x:is>
      </x:c>
      <x:c r="I16" s="9" t="inlineStr">
        <x:is>
          <x:t xml:space="preserve">Comfort Series; Single-Stage; Single-Packaged Heat Pump; 10 year limited parts warranty upon timely; Registration must be completed within 90; Ecobee3 Lite Pro Powered by; 5 Year Warranty</x:t>
        </x:is>
      </x:c>
      <x:c r="J16" s="10" t="n">
        <x:v>12.99</x:v>
      </x:c>
      <x:c r="K16" s="11" t="n">
        <x:v>120</x:v>
      </x:c>
    </x:row>
    <x:row r="17">
      <x:c r="A17" s="8" t="inlineStr">
        <x:is>
          <x:t xml:space="preserve">PHP</x:t>
        </x:is>
      </x:c>
      <x:c r="B17" s="5" t="n">
        <x:v>3.5</x:v>
      </x:c>
      <x:c r="C17" s="8" t="inlineStr">
        <x:is>
          <x:t xml:space="preserve">Budget</x:t>
        </x:is>
      </x:c>
      <x:c r="D17" s="6" t="n">
        <x:v>152</x:v>
      </x:c>
      <x:c r="E17" s="6" t="n">
        <x:v>10128</x:v>
      </x:c>
      <x:c r="F17" s="9" t="inlineStr">
        <x:is>
          <x:t xml:space="preserve">RunTru A5PH3042A1000</x:t>
        </x:is>
      </x:c>
      <x:c r="G17" s="9" t="inlineStr">
        <x:is>
          <x:t xml:space="preserve">Ameristar BAYHTRG110A</x:t>
        </x:is>
      </x:c>
      <x:c r="H17" s="9" t="inlineStr">
        <x:is>
          <x:t xml:space="preserve">Trane TCONT724AS42DA</x:t>
        </x:is>
      </x:c>
      <x:c r="I17" s="9" t="inlineStr">
        <x:is>
          <x:t xml:space="preserve">A5PA3 Series; Single Stage; Cooling Electric Heat; 10 Year Manufacture Warranty; Wi-Fi Connected Control; 5/2 Simple and Easy</x:t>
        </x:is>
      </x:c>
      <x:c r="J17" s="10" t="n">
        <x:v>12.99</x:v>
      </x:c>
      <x:c r="K17" s="11" t="n">
        <x:v>120</x:v>
      </x:c>
    </x:row>
    <x:row r="18">
      <x:c r="A18" s="8" t="inlineStr">
        <x:is>
          <x:t xml:space="preserve">PHP</x:t>
        </x:is>
      </x:c>
      <x:c r="B18" s="5" t="n">
        <x:v>4</x:v>
      </x:c>
      <x:c r="C18" s="8" t="inlineStr">
        <x:is>
          <x:t xml:space="preserve">Best</x:t>
        </x:is>
      </x:c>
      <x:c r="D18" s="6" t="n">
        <x:v>205</x:v>
      </x:c>
      <x:c r="E18" s="6" t="n">
        <x:v>13699</x:v>
      </x:c>
      <x:c r="F18" s="9" t="inlineStr">
        <x:is>
          <x:t xml:space="preserve">Trane 5WCZ5048A1000</x:t>
        </x:is>
      </x:c>
      <x:c r="G18" s="9" t="inlineStr">
        <x:is>
          <x:t xml:space="preserve">Trane BAYHTRG115A</x:t>
        </x:is>
      </x:c>
      <x:c r="H18" s="9" t="inlineStr">
        <x:is>
          <x:t xml:space="preserve">Trane TCONT824AS52DA</x:t>
        </x:is>
      </x:c>
      <x:c r="I18" s="9" t="inlineStr">
        <x:is>
          <x:t xml:space="preserve">5WCZ5 15 Series; Two Stage; Heat Pump Package; XL824; Connected Control</x:t>
        </x:is>
      </x:c>
      <x:c r="J18" s="10" t="n">
        <x:v>12.99</x:v>
      </x:c>
      <x:c r="K18" s="11" t="n">
        <x:v>120</x:v>
      </x:c>
    </x:row>
    <x:row r="19">
      <x:c r="A19" s="8" t="inlineStr">
        <x:is>
          <x:t xml:space="preserve">PHP</x:t>
        </x:is>
      </x:c>
      <x:c r="B19" s="5" t="n">
        <x:v>4</x:v>
      </x:c>
      <x:c r="C19" s="8" t="inlineStr">
        <x:is>
          <x:t xml:space="preserve">Better</x:t>
        </x:is>
      </x:c>
      <x:c r="D19" s="6" t="n">
        <x:v>184</x:v>
      </x:c>
      <x:c r="E19" s="6" t="n">
        <x:v>12283</x:v>
      </x:c>
      <x:c r="F19" s="9" t="inlineStr">
        <x:is>
          <x:t xml:space="preserve">Trane 5WCC4048A1000</x:t>
        </x:is>
      </x:c>
      <x:c r="G19" s="9" t="inlineStr">
        <x:is>
          <x:t xml:space="preserve">Ameristar BAYHTRG115A</x:t>
        </x:is>
      </x:c>
      <x:c r="H19" s="9" t="inlineStr">
        <x:is>
          <x:t xml:space="preserve">Trane TCONT724AS42DA</x:t>
        </x:is>
      </x:c>
      <x:c r="I19" s="9" t="inlineStr">
        <x:is>
          <x:t xml:space="preserve">5WCC4 Series; Single Stage; Heat Pump Package; Wi-Fi Connected Control; 5/2 Simple and Easy</x:t>
        </x:is>
      </x:c>
      <x:c r="J19" s="10" t="n">
        <x:v>12.99</x:v>
      </x:c>
      <x:c r="K19" s="11" t="n">
        <x:v>120</x:v>
      </x:c>
    </x:row>
    <x:row r="20">
      <x:c r="A20" s="8" t="inlineStr">
        <x:is>
          <x:t xml:space="preserve">PHP</x:t>
        </x:is>
      </x:c>
      <x:c r="B20" s="5" t="n">
        <x:v>4</x:v>
      </x:c>
      <x:c r="C20" s="8" t="inlineStr">
        <x:is>
          <x:t xml:space="preserve">Good</x:t>
        </x:is>
      </x:c>
      <x:c r="D20" s="6" t="n">
        <x:v>176</x:v>
      </x:c>
      <x:c r="E20" s="6" t="n">
        <x:v>11736</x:v>
      </x:c>
      <x:c r="F20" s="9" t="inlineStr">
        <x:is>
          <x:t xml:space="preserve">Carrier 50NT-B48---3</x:t>
        </x:is>
      </x:c>
      <x:c r="G20" s="9" t="inlineStr">
        <x:is>
          <x:t xml:space="preserve">Carrier CP-051A00-15F1</x:t>
        </x:is>
      </x:c>
      <x:c r="H20" s="9" t="inlineStr">
        <x:is>
          <x:t xml:space="preserve">Carrier EB-STATE3LTICR-01</x:t>
        </x:is>
      </x:c>
      <x:c r="I20" s="9" t="inlineStr">
        <x:is>
          <x:t xml:space="preserve">Comfort Series; Single-Stage; Single-Packaged Heat Pump; 10 year limited parts warranty upon timely; Registration must be completed within 90; Ecobee3 Lite Pro Powered by; 5 Year Warranty</x:t>
        </x:is>
      </x:c>
      <x:c r="J20" s="10" t="n">
        <x:v>12.99</x:v>
      </x:c>
      <x:c r="K20" s="11" t="n">
        <x:v>120</x:v>
      </x:c>
    </x:row>
    <x:row r="21">
      <x:c r="A21" s="8" t="inlineStr">
        <x:is>
          <x:t xml:space="preserve">PHP</x:t>
        </x:is>
      </x:c>
      <x:c r="B21" s="5" t="n">
        <x:v>4</x:v>
      </x:c>
      <x:c r="C21" s="8" t="inlineStr">
        <x:is>
          <x:t xml:space="preserve">Budget</x:t>
        </x:is>
      </x:c>
      <x:c r="D21" s="6" t="n">
        <x:v>146</x:v>
      </x:c>
      <x:c r="E21" s="6" t="n">
        <x:v>9737</x:v>
      </x:c>
      <x:c r="F21" s="9" t="inlineStr">
        <x:is>
          <x:t xml:space="preserve">RunTru A5PH3048A1000</x:t>
        </x:is>
      </x:c>
      <x:c r="G21" s="9" t="inlineStr">
        <x:is>
          <x:t xml:space="preserve">Trane BAYHTRG115A</x:t>
        </x:is>
      </x:c>
      <x:c r="H21" s="9" t="inlineStr">
        <x:is>
          <x:t xml:space="preserve">Trane TCONT724AS42DA</x:t>
        </x:is>
      </x:c>
      <x:c r="I21" s="9" t="inlineStr">
        <x:is>
          <x:t xml:space="preserve">A5PA3 Series; Single Stage; Cooling Electric Heat; 10 Year Manufacture Warranty; Wi-Fi Connected Control; 5/2 Simple and Easy</x:t>
        </x:is>
      </x:c>
      <x:c r="J21" s="10" t="n">
        <x:v>12.99</x:v>
      </x:c>
      <x:c r="K21" s="11" t="n">
        <x:v>120</x:v>
      </x:c>
    </x:row>
    <x:row r="22">
      <x:c r="A22" s="8" t="inlineStr">
        <x:is>
          <x:t xml:space="preserve">PHP</x:t>
        </x:is>
      </x:c>
      <x:c r="B22" s="5" t="n">
        <x:v>5</x:v>
      </x:c>
      <x:c r="C22" s="8" t="inlineStr">
        <x:is>
          <x:t xml:space="preserve">Best</x:t>
        </x:is>
      </x:c>
      <x:c r="D22" s="6" t="n">
        <x:v>234</x:v>
      </x:c>
      <x:c r="E22" s="6" t="n">
        <x:v>15647</x:v>
      </x:c>
      <x:c r="F22" s="9" t="inlineStr">
        <x:is>
          <x:t xml:space="preserve">Trane 5WCZ5060A1000</x:t>
        </x:is>
      </x:c>
      <x:c r="G22" s="9" t="inlineStr">
        <x:is>
          <x:t xml:space="preserve">Trane BAYHTRG115A</x:t>
        </x:is>
      </x:c>
      <x:c r="H22" s="9" t="inlineStr">
        <x:is>
          <x:t xml:space="preserve">Trane TCONT824AS52DA</x:t>
        </x:is>
      </x:c>
      <x:c r="I22" s="9" t="inlineStr">
        <x:is>
          <x:t xml:space="preserve">5WCZ5 15 Series; Two Stage; Heat Pump Package; XL824; Connected Control</x:t>
        </x:is>
      </x:c>
      <x:c r="J22" s="10" t="n">
        <x:v>12.99</x:v>
      </x:c>
      <x:c r="K22" s="11" t="n">
        <x:v>120</x:v>
      </x:c>
    </x:row>
    <x:row r="23">
      <x:c r="A23" s="8" t="inlineStr">
        <x:is>
          <x:t xml:space="preserve">PHP</x:t>
        </x:is>
      </x:c>
      <x:c r="B23" s="5" t="n">
        <x:v>5</x:v>
      </x:c>
      <x:c r="C23" s="8" t="inlineStr">
        <x:is>
          <x:t xml:space="preserve">Better</x:t>
        </x:is>
      </x:c>
      <x:c r="D23" s="6" t="n">
        <x:v>210</x:v>
      </x:c>
      <x:c r="E23" s="6" t="n">
        <x:v>14051</x:v>
      </x:c>
      <x:c r="F23" s="9" t="inlineStr">
        <x:is>
          <x:t xml:space="preserve">Trane 5WCC4060A1000</x:t>
        </x:is>
      </x:c>
      <x:c r="G23" s="9" t="inlineStr">
        <x:is>
          <x:t xml:space="preserve">Ameristar BAYHTRG115A</x:t>
        </x:is>
      </x:c>
      <x:c r="H23" s="9" t="inlineStr">
        <x:is>
          <x:t xml:space="preserve">Trane TCONT724AS42DA</x:t>
        </x:is>
      </x:c>
      <x:c r="I23" s="9" t="inlineStr">
        <x:is>
          <x:t xml:space="preserve">5WCC4 Series; Single Stage; Heat Pump Package; Wi-Fi Connected Control; 5/2 Simple and Easy</x:t>
        </x:is>
      </x:c>
      <x:c r="J23" s="10" t="n">
        <x:v>12.99</x:v>
      </x:c>
      <x:c r="K23" s="11" t="n">
        <x:v>120</x:v>
      </x:c>
    </x:row>
    <x:row r="24">
      <x:c r="A24" s="8" t="inlineStr">
        <x:is>
          <x:t xml:space="preserve">PHP</x:t>
        </x:is>
      </x:c>
      <x:c r="B24" s="5" t="n">
        <x:v>5</x:v>
      </x:c>
      <x:c r="C24" s="8" t="inlineStr">
        <x:is>
          <x:t xml:space="preserve">Good</x:t>
        </x:is>
      </x:c>
      <x:c r="D24" s="6" t="n">
        <x:v>214</x:v>
      </x:c>
      <x:c r="E24" s="6" t="n">
        <x:v>14306</x:v>
      </x:c>
      <x:c r="F24" s="9" t="inlineStr">
        <x:is>
          <x:t xml:space="preserve">Carrier 50NT-B60---3</x:t>
        </x:is>
      </x:c>
      <x:c r="G24" s="9" t="inlineStr">
        <x:is>
          <x:t xml:space="preserve">Carrier CP-051A00-15F1</x:t>
        </x:is>
      </x:c>
      <x:c r="H24" s="9" t="inlineStr">
        <x:is>
          <x:t xml:space="preserve">Carrier EB-STATE3LTICR-01</x:t>
        </x:is>
      </x:c>
      <x:c r="I24" s="9" t="inlineStr">
        <x:is>
          <x:t xml:space="preserve">Comfort Series; Single-Stage; Single-Packaged Heat Pump; 10 year limited parts warranty upon timely; Registration must be completed within 90; Ecobee3 Lite Pro Powered by; 5 Year Warranty</x:t>
        </x:is>
      </x:c>
      <x:c r="J24" s="10" t="n">
        <x:v>12.99</x:v>
      </x:c>
      <x:c r="K24" s="11" t="n">
        <x:v>120</x:v>
      </x:c>
    </x:row>
    <x:row r="25">
      <x:c r="A25" s="8" t="inlineStr">
        <x:is>
          <x:t xml:space="preserve">PHP</x:t>
        </x:is>
      </x:c>
      <x:c r="B25" s="5" t="n">
        <x:v>5</x:v>
      </x:c>
      <x:c r="C25" s="8" t="inlineStr">
        <x:is>
          <x:t xml:space="preserve">Budget</x:t>
        </x:is>
      </x:c>
      <x:c r="D25" s="6" t="n">
        <x:v>169</x:v>
      </x:c>
      <x:c r="E25" s="6" t="n">
        <x:v>11270</x:v>
      </x:c>
      <x:c r="F25" s="9" t="inlineStr">
        <x:is>
          <x:t xml:space="preserve">RunTru A5PH3060A1000</x:t>
        </x:is>
      </x:c>
      <x:c r="G25" s="9" t="inlineStr">
        <x:is>
          <x:t xml:space="preserve">Ameristar BAYHTRG115A</x:t>
        </x:is>
      </x:c>
      <x:c r="H25" s="9" t="inlineStr">
        <x:is>
          <x:t xml:space="preserve">Trane TCONT724AS42DA</x:t>
        </x:is>
      </x:c>
      <x:c r="I25" s="9" t="inlineStr">
        <x:is>
          <x:t xml:space="preserve">A5PA3 Series; Single Stage; Cooling Electric Heat; 10 Year Manufacture Warranty; Wi-Fi Connected Control; 5/2 Simple and Easy</x:t>
        </x:is>
      </x:c>
      <x:c r="J25" s="10" t="n">
        <x:v>12.99</x:v>
      </x:c>
      <x:c r="K25" s="11" t="n">
        <x:v>120</x:v>
      </x:c>
    </x:row>
    <x:row r="26">
      <x:c r="A26" s="8" t="inlineStr">
        <x:is>
          <x:t xml:space="preserve">GP</x:t>
        </x:is>
      </x:c>
      <x:c r="B26" s="5" t="n">
        <x:v>2</x:v>
      </x:c>
      <x:c r="C26" s="8" t="inlineStr">
        <x:is>
          <x:t xml:space="preserve">Best</x:t>
        </x:is>
      </x:c>
      <x:c r="D26" s="6" t="n">
        <x:v>186</x:v>
      </x:c>
      <x:c r="E26" s="6" t="n">
        <x:v>12400</x:v>
      </x:c>
      <x:c r="F26" s="9" t="inlineStr">
        <x:is>
          <x:t xml:space="preserve">Trane 5YCZ5024A1060</x:t>
        </x:is>
      </x:c>
      <x:c r="G26" s="9" t="n"/>
      <x:c r="H26" s="9" t="inlineStr">
        <x:is>
          <x:t xml:space="preserve">Trane TCONT824AS52DA</x:t>
        </x:is>
      </x:c>
      <x:c r="I26" s="9" t="inlineStr">
        <x:is>
          <x:t xml:space="preserve">XL15c; Gas/Electric Package Unit; Climatuff Compressor; Variable Speed Blower; XL824; Connected Control</x:t>
        </x:is>
      </x:c>
      <x:c r="J26" s="10" t="n">
        <x:v>12.99</x:v>
      </x:c>
      <x:c r="K26" s="11" t="n">
        <x:v>120</x:v>
      </x:c>
    </x:row>
    <x:row r="27">
      <x:c r="A27" s="8" t="inlineStr">
        <x:is>
          <x:t xml:space="preserve">GP</x:t>
        </x:is>
      </x:c>
      <x:c r="B27" s="5" t="n">
        <x:v>2</x:v>
      </x:c>
      <x:c r="C27" s="8" t="inlineStr">
        <x:is>
          <x:t xml:space="preserve">Better</x:t>
        </x:is>
      </x:c>
      <x:c r="D27" s="6" t="n">
        <x:v>167</x:v>
      </x:c>
      <x:c r="E27" s="6" t="n">
        <x:v>11156</x:v>
      </x:c>
      <x:c r="F27" s="9" t="inlineStr">
        <x:is>
          <x:t xml:space="preserve">Trane 5YCC4024A1060</x:t>
        </x:is>
      </x:c>
      <x:c r="G27" s="9" t="n"/>
      <x:c r="H27" s="9" t="inlineStr">
        <x:is>
          <x:t xml:space="preserve">Trane TCONT724AS42DA</x:t>
        </x:is>
      </x:c>
      <x:c r="I27" s="9" t="inlineStr">
        <x:is>
          <x:t xml:space="preserve">Gas/Electric; Package unit; Wi-Fi Connected Control; 5/2 Simple and Easy</x:t>
        </x:is>
      </x:c>
      <x:c r="J27" s="10" t="n">
        <x:v>12.99</x:v>
      </x:c>
      <x:c r="K27" s="11" t="n">
        <x:v>120</x:v>
      </x:c>
    </x:row>
    <x:row r="28">
      <x:c r="A28" s="8" t="inlineStr">
        <x:is>
          <x:t xml:space="preserve">GP</x:t>
        </x:is>
      </x:c>
      <x:c r="B28" s="5" t="n">
        <x:v>2</x:v>
      </x:c>
      <x:c r="C28" s="8" t="inlineStr">
        <x:is>
          <x:t xml:space="preserve">Good</x:t>
        </x:is>
      </x:c>
      <x:c r="D28" s="6" t="n">
        <x:v>154</x:v>
      </x:c>
      <x:c r="E28" s="6" t="n">
        <x:v>10289</x:v>
      </x:c>
      <x:c r="F28" s="9" t="inlineStr">
        <x:is>
          <x:t xml:space="preserve">Carrier 48NL-B240603</x:t>
        </x:is>
      </x:c>
      <x:c r="G28" s="9" t="n"/>
      <x:c r="H28" s="9" t="inlineStr">
        <x:is>
          <x:t xml:space="preserve">Carrier EB-STATE3LTICR-01</x:t>
        </x:is>
      </x:c>
      <x:c r="I28" s="9" t="inlineStr">
        <x:is>
          <x:t xml:space="preserve">Comfort Series; Single-Stage; Single-Packaged Air Conditioner; 10 year limited parts warranty upon timely; Registration must be completed within 90; Ecobee3 Lite Pro Powered by; 5 Year Warranty</x:t>
        </x:is>
      </x:c>
      <x:c r="J28" s="10" t="n">
        <x:v>12.99</x:v>
      </x:c>
      <x:c r="K28" s="11" t="n">
        <x:v>120</x:v>
      </x:c>
    </x:row>
    <x:row r="29">
      <x:c r="A29" s="8" t="inlineStr">
        <x:is>
          <x:t xml:space="preserve">GP</x:t>
        </x:is>
      </x:c>
      <x:c r="B29" s="5" t="n">
        <x:v>2</x:v>
      </x:c>
      <x:c r="C29" s="8" t="inlineStr">
        <x:is>
          <x:t xml:space="preserve">Budget</x:t>
        </x:is>
      </x:c>
      <x:c r="D29" s="6" t="n">
        <x:v>121</x:v>
      </x:c>
      <x:c r="E29" s="6" t="n">
        <x:v>8075</x:v>
      </x:c>
      <x:c r="F29" s="9" t="inlineStr">
        <x:is>
          <x:t xml:space="preserve">RunTru A5PG3024A1060</x:t>
        </x:is>
      </x:c>
      <x:c r="G29" s="9" t="n"/>
      <x:c r="H29" s="9" t="inlineStr">
        <x:is>
          <x:t xml:space="preserve">Trane TCONT724AS42DA</x:t>
        </x:is>
      </x:c>
      <x:c r="I29" s="9" t="inlineStr">
        <x:is>
          <x:t xml:space="preserve">A5PG3 Series; Outdoor; Gas/Electric Package; Wi-Fi Connected Control; 5/2 Simple and Easy</x:t>
        </x:is>
      </x:c>
      <x:c r="J29" s="10" t="n">
        <x:v>12.99</x:v>
      </x:c>
      <x:c r="K29" s="11" t="n">
        <x:v>120</x:v>
      </x:c>
    </x:row>
    <x:row r="30">
      <x:c r="A30" s="8" t="inlineStr">
        <x:is>
          <x:t xml:space="preserve">GP</x:t>
        </x:is>
      </x:c>
      <x:c r="B30" s="5" t="n">
        <x:v>2.5</x:v>
      </x:c>
      <x:c r="C30" s="8" t="inlineStr">
        <x:is>
          <x:t xml:space="preserve">Best</x:t>
        </x:is>
      </x:c>
      <x:c r="D30" s="6" t="n">
        <x:v>190</x:v>
      </x:c>
      <x:c r="E30" s="6" t="n">
        <x:v>12679</x:v>
      </x:c>
      <x:c r="F30" s="9" t="inlineStr">
        <x:is>
          <x:t xml:space="preserve">Trane 5YCZ5030A1070</x:t>
        </x:is>
      </x:c>
      <x:c r="G30" s="9" t="n"/>
      <x:c r="H30" s="9" t="inlineStr">
        <x:is>
          <x:t xml:space="preserve">Trane TCONT824AS52DA</x:t>
        </x:is>
      </x:c>
      <x:c r="I30" s="9" t="inlineStr">
        <x:is>
          <x:t xml:space="preserve">XL15c; Gas/Electric Package Unit; Climatuff Compressor; Variable Speed Blower; XL824; Connected Control</x:t>
        </x:is>
      </x:c>
      <x:c r="J30" s="10" t="n">
        <x:v>12.99</x:v>
      </x:c>
      <x:c r="K30" s="11" t="n">
        <x:v>120</x:v>
      </x:c>
    </x:row>
    <x:row r="31">
      <x:c r="A31" s="8" t="inlineStr">
        <x:is>
          <x:t xml:space="preserve">GP</x:t>
        </x:is>
      </x:c>
      <x:c r="B31" s="5" t="n">
        <x:v>2.5</x:v>
      </x:c>
      <x:c r="C31" s="8" t="inlineStr">
        <x:is>
          <x:t xml:space="preserve">Better</x:t>
        </x:is>
      </x:c>
      <x:c r="D31" s="6" t="n">
        <x:v>172</x:v>
      </x:c>
      <x:c r="E31" s="6" t="n">
        <x:v>11512</x:v>
      </x:c>
      <x:c r="F31" s="9" t="inlineStr">
        <x:is>
          <x:t xml:space="preserve">Trane 5YCC4030A1070</x:t>
        </x:is>
      </x:c>
      <x:c r="G31" s="9" t="n"/>
      <x:c r="H31" s="9" t="inlineStr">
        <x:is>
          <x:t xml:space="preserve">Trane TCONT724AS42DA</x:t>
        </x:is>
      </x:c>
      <x:c r="I31" s="9" t="inlineStr">
        <x:is>
          <x:t xml:space="preserve">Gas/Electric; Package unit; Wi-Fi Connected Control; 5/2 Simple and Easy</x:t>
        </x:is>
      </x:c>
      <x:c r="J31" s="10" t="n">
        <x:v>12.99</x:v>
      </x:c>
      <x:c r="K31" s="11" t="n">
        <x:v>120</x:v>
      </x:c>
    </x:row>
    <x:row r="32">
      <x:c r="A32" s="8" t="inlineStr">
        <x:is>
          <x:t xml:space="preserve">GP</x:t>
        </x:is>
      </x:c>
      <x:c r="B32" s="5" t="n">
        <x:v>2.5</x:v>
      </x:c>
      <x:c r="C32" s="8" t="inlineStr">
        <x:is>
          <x:t xml:space="preserve">Good</x:t>
        </x:is>
      </x:c>
      <x:c r="D32" s="6" t="n">
        <x:v>162</x:v>
      </x:c>
      <x:c r="E32" s="6" t="n">
        <x:v>10789</x:v>
      </x:c>
      <x:c r="F32" s="9" t="inlineStr">
        <x:is>
          <x:t xml:space="preserve">Carrier 48NL-B300603</x:t>
        </x:is>
      </x:c>
      <x:c r="G32" s="9" t="n"/>
      <x:c r="H32" s="9" t="inlineStr">
        <x:is>
          <x:t xml:space="preserve">Carrier EB-STATE3LTICR-01</x:t>
        </x:is>
      </x:c>
      <x:c r="I32" s="9" t="inlineStr">
        <x:is>
          <x:t xml:space="preserve">Comfort Series; Single-Stage; Single-Packaged Air Conditioner; 10 year limited parts warranty upon timely; Registration must be completed within 90; Ecobee3 Lite Pro Powered by; 5 Year Warranty</x:t>
        </x:is>
      </x:c>
      <x:c r="J32" s="10" t="n">
        <x:v>12.99</x:v>
      </x:c>
      <x:c r="K32" s="11" t="n">
        <x:v>120</x:v>
      </x:c>
    </x:row>
    <x:row r="33">
      <x:c r="A33" s="8" t="inlineStr">
        <x:is>
          <x:t xml:space="preserve">GP</x:t>
        </x:is>
      </x:c>
      <x:c r="B33" s="5" t="n">
        <x:v>2.5</x:v>
      </x:c>
      <x:c r="C33" s="8" t="inlineStr">
        <x:is>
          <x:t xml:space="preserve">Budget</x:t>
        </x:is>
      </x:c>
      <x:c r="D33" s="6" t="n">
        <x:v>127</x:v>
      </x:c>
      <x:c r="E33" s="6" t="n">
        <x:v>8444</x:v>
      </x:c>
      <x:c r="F33" s="9" t="inlineStr">
        <x:is>
          <x:t xml:space="preserve">RunTru A5PG3030A1070</x:t>
        </x:is>
      </x:c>
      <x:c r="G33" s="9" t="n"/>
      <x:c r="H33" s="9" t="inlineStr">
        <x:is>
          <x:t xml:space="preserve">Trane TCONT724AS42DA</x:t>
        </x:is>
      </x:c>
      <x:c r="I33" s="9" t="inlineStr">
        <x:is>
          <x:t xml:space="preserve">A5PG3 Series; Outdoor; Gas/Electric Package; Wi-Fi Connected Control; 5/2 Simple and Easy</x:t>
        </x:is>
      </x:c>
      <x:c r="J33" s="10" t="n">
        <x:v>12.99</x:v>
      </x:c>
      <x:c r="K33" s="11" t="n">
        <x:v>120</x:v>
      </x:c>
    </x:row>
    <x:row r="34">
      <x:c r="A34" s="8" t="inlineStr">
        <x:is>
          <x:t xml:space="preserve">GP</x:t>
        </x:is>
      </x:c>
      <x:c r="B34" s="5" t="n">
        <x:v>3</x:v>
      </x:c>
      <x:c r="C34" s="8" t="inlineStr">
        <x:is>
          <x:t xml:space="preserve">Best</x:t>
        </x:is>
      </x:c>
      <x:c r="D34" s="6" t="n">
        <x:v>194</x:v>
      </x:c>
      <x:c r="E34" s="6" t="n">
        <x:v>12956</x:v>
      </x:c>
      <x:c r="F34" s="9" t="inlineStr">
        <x:is>
          <x:t xml:space="preserve">Trane 5YCZ5036A1070</x:t>
        </x:is>
      </x:c>
      <x:c r="G34" s="9" t="n"/>
      <x:c r="H34" s="9" t="inlineStr">
        <x:is>
          <x:t xml:space="preserve">Trane TCONT824AS52DA</x:t>
        </x:is>
      </x:c>
      <x:c r="I34" s="9" t="inlineStr">
        <x:is>
          <x:t xml:space="preserve">XL15c; Gas/Electric Package Unit; Climatuff Compressor; Variable Speed Blower; XL824; Connected Control</x:t>
        </x:is>
      </x:c>
      <x:c r="J34" s="10" t="n">
        <x:v>12.99</x:v>
      </x:c>
      <x:c r="K34" s="11" t="n">
        <x:v>120</x:v>
      </x:c>
    </x:row>
    <x:row r="35">
      <x:c r="A35" s="8" t="inlineStr">
        <x:is>
          <x:t xml:space="preserve">GP</x:t>
        </x:is>
      </x:c>
      <x:c r="B35" s="5" t="n">
        <x:v>3</x:v>
      </x:c>
      <x:c r="C35" s="8" t="inlineStr">
        <x:is>
          <x:t xml:space="preserve">Better</x:t>
        </x:is>
      </x:c>
      <x:c r="D35" s="6" t="n">
        <x:v>176</x:v>
      </x:c>
      <x:c r="E35" s="6" t="n">
        <x:v>11744</x:v>
      </x:c>
      <x:c r="F35" s="9" t="inlineStr">
        <x:is>
          <x:t xml:space="preserve">Trane 5YCC4036A1070</x:t>
        </x:is>
      </x:c>
      <x:c r="G35" s="9" t="n"/>
      <x:c r="H35" s="9" t="inlineStr">
        <x:is>
          <x:t xml:space="preserve">Trane TCONT724AS42DA</x:t>
        </x:is>
      </x:c>
      <x:c r="I35" s="9" t="inlineStr">
        <x:is>
          <x:t xml:space="preserve">Gas/Electric; Package unit; Wi-Fi Connected Control; 5/2 Simple and Easy</x:t>
        </x:is>
      </x:c>
      <x:c r="J35" s="10" t="n">
        <x:v>12.99</x:v>
      </x:c>
      <x:c r="K35" s="11" t="n">
        <x:v>120</x:v>
      </x:c>
    </x:row>
    <x:row r="36">
      <x:c r="A36" s="8" t="inlineStr">
        <x:is>
          <x:t xml:space="preserve">GP</x:t>
        </x:is>
      </x:c>
      <x:c r="B36" s="5" t="n">
        <x:v>3</x:v>
      </x:c>
      <x:c r="C36" s="8" t="inlineStr">
        <x:is>
          <x:t xml:space="preserve">Good</x:t>
        </x:is>
      </x:c>
      <x:c r="D36" s="6" t="n">
        <x:v>167</x:v>
      </x:c>
      <x:c r="E36" s="6" t="n">
        <x:v>11147</x:v>
      </x:c>
      <x:c r="F36" s="9" t="inlineStr">
        <x:is>
          <x:t xml:space="preserve">Carrier 48NL-B360903</x:t>
        </x:is>
      </x:c>
      <x:c r="G36" s="9" t="n"/>
      <x:c r="H36" s="9" t="inlineStr">
        <x:is>
          <x:t xml:space="preserve">Carrier EB-STATE3LTICR-01</x:t>
        </x:is>
      </x:c>
      <x:c r="I36" s="9" t="inlineStr">
        <x:is>
          <x:t xml:space="preserve">Comfort Series; Single-Stage; Single-Packaged Air Conditioner; 10 year limited parts warranty upon timely; Registration must be completed within 90; Ecobee3 Lite Pro Powered by; 5 Year Warranty</x:t>
        </x:is>
      </x:c>
      <x:c r="J36" s="10" t="n">
        <x:v>12.99</x:v>
      </x:c>
      <x:c r="K36" s="11" t="n">
        <x:v>120</x:v>
      </x:c>
    </x:row>
    <x:row r="37">
      <x:c r="A37" s="8" t="inlineStr">
        <x:is>
          <x:t xml:space="preserve">GP</x:t>
        </x:is>
      </x:c>
      <x:c r="B37" s="5" t="n">
        <x:v>3</x:v>
      </x:c>
      <x:c r="C37" s="8" t="inlineStr">
        <x:is>
          <x:t xml:space="preserve">Budget</x:t>
        </x:is>
      </x:c>
      <x:c r="D37" s="6" t="n">
        <x:v>130</x:v>
      </x:c>
      <x:c r="E37" s="6" t="n">
        <x:v>8703</x:v>
      </x:c>
      <x:c r="F37" s="9" t="inlineStr">
        <x:is>
          <x:t xml:space="preserve">RunTru A5PG3036A1070</x:t>
        </x:is>
      </x:c>
      <x:c r="G37" s="9" t="n"/>
      <x:c r="H37" s="9" t="inlineStr">
        <x:is>
          <x:t xml:space="preserve">Trane TCONT724AS42DA</x:t>
        </x:is>
      </x:c>
      <x:c r="I37" s="9" t="inlineStr">
        <x:is>
          <x:t xml:space="preserve">A5PG3 Series; Outdoor; Gas/Electric Package; Wi-Fi Connected Control; 5/2 Simple and Easy</x:t>
        </x:is>
      </x:c>
      <x:c r="J37" s="10" t="n">
        <x:v>12.99</x:v>
      </x:c>
      <x:c r="K37" s="11" t="n">
        <x:v>120</x:v>
      </x:c>
    </x:row>
    <x:row r="38">
      <x:c r="A38" s="8" t="inlineStr">
        <x:is>
          <x:t xml:space="preserve">GP</x:t>
        </x:is>
      </x:c>
      <x:c r="B38" s="5" t="n">
        <x:v>3.5</x:v>
      </x:c>
      <x:c r="C38" s="8" t="inlineStr">
        <x:is>
          <x:t xml:space="preserve">Best</x:t>
        </x:is>
      </x:c>
      <x:c r="D38" s="6" t="n">
        <x:v>202</x:v>
      </x:c>
      <x:c r="E38" s="6" t="n">
        <x:v>13515</x:v>
      </x:c>
      <x:c r="F38" s="9" t="inlineStr">
        <x:is>
          <x:t xml:space="preserve">Trane 5YCZ5042A1090</x:t>
        </x:is>
      </x:c>
      <x:c r="G38" s="9" t="n"/>
      <x:c r="H38" s="9" t="inlineStr">
        <x:is>
          <x:t xml:space="preserve">Trane TCONT824AS52DA</x:t>
        </x:is>
      </x:c>
      <x:c r="I38" s="9" t="inlineStr">
        <x:is>
          <x:t xml:space="preserve">XL15c; Gas/Electric Package Unit; Climatuff Compressor; Variable Speed Blower; XL824; Connected Control</x:t>
        </x:is>
      </x:c>
      <x:c r="J38" s="10" t="n">
        <x:v>12.99</x:v>
      </x:c>
      <x:c r="K38" s="11" t="n">
        <x:v>120</x:v>
      </x:c>
    </x:row>
    <x:row r="39">
      <x:c r="A39" s="8" t="inlineStr">
        <x:is>
          <x:t xml:space="preserve">GP</x:t>
        </x:is>
      </x:c>
      <x:c r="B39" s="5" t="n">
        <x:v>3.5</x:v>
      </x:c>
      <x:c r="C39" s="8" t="inlineStr">
        <x:is>
          <x:t xml:space="preserve">Better</x:t>
        </x:is>
      </x:c>
      <x:c r="D39" s="6" t="n">
        <x:v>179</x:v>
      </x:c>
      <x:c r="E39" s="6" t="n">
        <x:v>11976</x:v>
      </x:c>
      <x:c r="F39" s="9" t="inlineStr">
        <x:is>
          <x:t xml:space="preserve">Trane 5YCC4042A1060</x:t>
        </x:is>
      </x:c>
      <x:c r="G39" s="9" t="n"/>
      <x:c r="H39" s="9" t="inlineStr">
        <x:is>
          <x:t xml:space="preserve">Trane TCONT724AS42DA</x:t>
        </x:is>
      </x:c>
      <x:c r="I39" s="9" t="inlineStr">
        <x:is>
          <x:t xml:space="preserve">Gas/Electric; Package unit; Wi-Fi Connected Control; 5/2 Simple and Easy</x:t>
        </x:is>
      </x:c>
      <x:c r="J39" s="10" t="n">
        <x:v>12.99</x:v>
      </x:c>
      <x:c r="K39" s="11" t="n">
        <x:v>120</x:v>
      </x:c>
    </x:row>
    <x:row r="40">
      <x:c r="A40" s="8" t="inlineStr">
        <x:is>
          <x:t xml:space="preserve">GP</x:t>
        </x:is>
      </x:c>
      <x:c r="B40" s="5" t="n">
        <x:v>3.5</x:v>
      </x:c>
      <x:c r="C40" s="8" t="inlineStr">
        <x:is>
          <x:t xml:space="preserve">Good</x:t>
        </x:is>
      </x:c>
      <x:c r="D40" s="6" t="n">
        <x:v>181</x:v>
      </x:c>
      <x:c r="E40" s="6" t="n">
        <x:v>12068</x:v>
      </x:c>
      <x:c r="F40" s="9" t="inlineStr">
        <x:is>
          <x:t xml:space="preserve">Carrier 48NL-B420903</x:t>
        </x:is>
      </x:c>
      <x:c r="G40" s="9" t="n"/>
      <x:c r="H40" s="9" t="inlineStr">
        <x:is>
          <x:t xml:space="preserve">Carrier EB-STATE3LTICR-01</x:t>
        </x:is>
      </x:c>
      <x:c r="I40" s="9" t="inlineStr">
        <x:is>
          <x:t xml:space="preserve">Comfort Series; Single-Stage; Single-Packaged Air Conditioner; 10 year limited parts warranty upon timely; Registration must be completed within 90; Ecobee3 Lite Pro Powered by; 5 Year Warranty</x:t>
        </x:is>
      </x:c>
      <x:c r="J40" s="10" t="n">
        <x:v>12.99</x:v>
      </x:c>
      <x:c r="K40" s="11" t="n">
        <x:v>120</x:v>
      </x:c>
    </x:row>
    <x:row r="41">
      <x:c r="A41" s="8" t="inlineStr">
        <x:is>
          <x:t xml:space="preserve">GP</x:t>
        </x:is>
      </x:c>
      <x:c r="B41" s="5" t="n">
        <x:v>3.5</x:v>
      </x:c>
      <x:c r="C41" s="8" t="inlineStr">
        <x:is>
          <x:t xml:space="preserve">Budget</x:t>
        </x:is>
      </x:c>
      <x:c r="D41" s="6" t="n">
        <x:v>144</x:v>
      </x:c>
      <x:c r="E41" s="6" t="n">
        <x:v>9645</x:v>
      </x:c>
      <x:c r="F41" s="9" t="inlineStr">
        <x:is>
          <x:t xml:space="preserve">RunTru A5PG3042A1090</x:t>
        </x:is>
      </x:c>
      <x:c r="G41" s="9" t="n"/>
      <x:c r="H41" s="9" t="inlineStr">
        <x:is>
          <x:t xml:space="preserve">Trane TCONT724AS42DA</x:t>
        </x:is>
      </x:c>
      <x:c r="I41" s="9" t="inlineStr">
        <x:is>
          <x:t xml:space="preserve">A5PG3 Series; Outdoor; Gas/Electric Package; Wi-Fi Connected Control; 5/2 Simple and Easy</x:t>
        </x:is>
      </x:c>
      <x:c r="J41" s="10" t="n">
        <x:v>12.99</x:v>
      </x:c>
      <x:c r="K41" s="11" t="n">
        <x:v>120</x:v>
      </x:c>
    </x:row>
    <x:row r="42">
      <x:c r="A42" s="8" t="inlineStr">
        <x:is>
          <x:t xml:space="preserve">GP</x:t>
        </x:is>
      </x:c>
      <x:c r="B42" s="5" t="n">
        <x:v>4</x:v>
      </x:c>
      <x:c r="C42" s="8" t="inlineStr">
        <x:is>
          <x:t xml:space="preserve">Best</x:t>
        </x:is>
      </x:c>
      <x:c r="D42" s="6" t="n">
        <x:v>207</x:v>
      </x:c>
      <x:c r="E42" s="6" t="n">
        <x:v>13852</x:v>
      </x:c>
      <x:c r="F42" s="9" t="inlineStr">
        <x:is>
          <x:t xml:space="preserve">Trane 5YCZ5048A1090</x:t>
        </x:is>
      </x:c>
      <x:c r="G42" s="9" t="n"/>
      <x:c r="H42" s="9" t="inlineStr">
        <x:is>
          <x:t xml:space="preserve">Trane TCONT824AS52DA</x:t>
        </x:is>
      </x:c>
      <x:c r="I42" s="9" t="inlineStr">
        <x:is>
          <x:t xml:space="preserve">XL15c; Gas/Electric Package Unit; Climatuff Compressor; Variable Speed Blower; XL824; Connected Control</x:t>
        </x:is>
      </x:c>
      <x:c r="J42" s="10" t="n">
        <x:v>12.99</x:v>
      </x:c>
      <x:c r="K42" s="11" t="n">
        <x:v>120</x:v>
      </x:c>
    </x:row>
    <x:row r="43">
      <x:c r="A43" s="8" t="inlineStr">
        <x:is>
          <x:t xml:space="preserve">GP</x:t>
        </x:is>
      </x:c>
      <x:c r="B43" s="5" t="n">
        <x:v>4</x:v>
      </x:c>
      <x:c r="C43" s="8" t="inlineStr">
        <x:is>
          <x:t xml:space="preserve">Better</x:t>
        </x:is>
      </x:c>
      <x:c r="D43" s="6" t="n">
        <x:v>200</x:v>
      </x:c>
      <x:c r="E43" s="6" t="n">
        <x:v>13335</x:v>
      </x:c>
      <x:c r="F43" s="9" t="inlineStr">
        <x:is>
          <x:t xml:space="preserve">Carrier 48NL-B481153</x:t>
        </x:is>
      </x:c>
      <x:c r="G43" s="9" t="n"/>
      <x:c r="H43" s="9" t="inlineStr">
        <x:is>
          <x:t xml:space="preserve">Carrier EB-STATE3LTICR-01</x:t>
        </x:is>
      </x:c>
      <x:c r="I43" s="9" t="inlineStr">
        <x:is>
          <x:t xml:space="preserve">Comfort Series; Single-Stage; Single-Packaged Air Conditioner; 10 year limited parts warranty upon timely; Registration must be completed within 90; Ecobee3 Lite Pro Powered by; 5 Year Warranty</x:t>
        </x:is>
      </x:c>
      <x:c r="J43" s="10" t="n">
        <x:v>12.99</x:v>
      </x:c>
      <x:c r="K43" s="11" t="n">
        <x:v>120</x:v>
      </x:c>
    </x:row>
    <x:row r="44">
      <x:c r="A44" s="8" t="inlineStr">
        <x:is>
          <x:t xml:space="preserve">GP</x:t>
        </x:is>
      </x:c>
      <x:c r="B44" s="5" t="n">
        <x:v>4</x:v>
      </x:c>
      <x:c r="C44" s="8" t="inlineStr">
        <x:is>
          <x:t xml:space="preserve">Good</x:t>
        </x:is>
      </x:c>
      <x:c r="D44" s="6" t="n">
        <x:v>186</x:v>
      </x:c>
      <x:c r="E44" s="6" t="n">
        <x:v>12459</x:v>
      </x:c>
      <x:c r="F44" s="9" t="inlineStr">
        <x:is>
          <x:t xml:space="preserve">Trane 5YCC4048A1070</x:t>
        </x:is>
      </x:c>
      <x:c r="G44" s="9" t="n"/>
      <x:c r="H44" s="9" t="inlineStr">
        <x:is>
          <x:t xml:space="preserve">Trane TCONT724AS42DA</x:t>
        </x:is>
      </x:c>
      <x:c r="I44" s="9" t="inlineStr">
        <x:is>
          <x:t xml:space="preserve">Gas/Electric; Package unit; Wi-Fi Connected Control; 5/2 Simple and Easy</x:t>
        </x:is>
      </x:c>
      <x:c r="J44" s="10" t="n">
        <x:v>12.99</x:v>
      </x:c>
      <x:c r="K44" s="11" t="n">
        <x:v>120</x:v>
      </x:c>
    </x:row>
    <x:row r="45">
      <x:c r="A45" s="8" t="inlineStr">
        <x:is>
          <x:t xml:space="preserve">GP</x:t>
        </x:is>
      </x:c>
      <x:c r="B45" s="5" t="n">
        <x:v>4</x:v>
      </x:c>
      <x:c r="C45" s="8" t="inlineStr">
        <x:is>
          <x:t xml:space="preserve">Budget</x:t>
        </x:is>
      </x:c>
      <x:c r="D45" s="6" t="n">
        <x:v>150</x:v>
      </x:c>
      <x:c r="E45" s="6" t="n">
        <x:v>10024</x:v>
      </x:c>
      <x:c r="F45" s="9" t="inlineStr">
        <x:is>
          <x:t xml:space="preserve">RunTru A5PG3048A1090</x:t>
        </x:is>
      </x:c>
      <x:c r="G45" s="9" t="n"/>
      <x:c r="H45" s="9" t="inlineStr">
        <x:is>
          <x:t xml:space="preserve">Trane TCONT724AS42DA</x:t>
        </x:is>
      </x:c>
      <x:c r="I45" s="9" t="inlineStr">
        <x:is>
          <x:t xml:space="preserve">A5PG3 Series; Outdoor; Gas/Electric Package; Wi-Fi Connected Control; 5/2 Simple and Easy</x:t>
        </x:is>
      </x:c>
      <x:c r="J45" s="10" t="n">
        <x:v>12.99</x:v>
      </x:c>
      <x:c r="K45" s="11" t="n">
        <x:v>120</x:v>
      </x:c>
    </x:row>
    <x:row r="46">
      <x:c r="A46" s="8" t="inlineStr">
        <x:is>
          <x:t xml:space="preserve">GP</x:t>
        </x:is>
      </x:c>
      <x:c r="B46" s="5" t="n">
        <x:v>5</x:v>
      </x:c>
      <x:c r="C46" s="8" t="inlineStr">
        <x:is>
          <x:t xml:space="preserve">Best</x:t>
        </x:is>
      </x:c>
      <x:c r="D46" s="6" t="n">
        <x:v>219</x:v>
      </x:c>
      <x:c r="E46" s="6" t="n">
        <x:v>14633</x:v>
      </x:c>
      <x:c r="F46" s="9" t="inlineStr">
        <x:is>
          <x:t xml:space="preserve">Trane 5YCZ5060A1115</x:t>
        </x:is>
      </x:c>
      <x:c r="G46" s="9" t="n"/>
      <x:c r="H46" s="9" t="inlineStr">
        <x:is>
          <x:t xml:space="preserve">Trane TCONT824AS52DA</x:t>
        </x:is>
      </x:c>
      <x:c r="I46" s="9" t="inlineStr">
        <x:is>
          <x:t xml:space="preserve">XL15c; Gas/Electric Package Unit; Climatuff Compressor; Variable Speed Blower; XL824; Connected Control</x:t>
        </x:is>
      </x:c>
      <x:c r="J46" s="10" t="n">
        <x:v>12.99</x:v>
      </x:c>
      <x:c r="K46" s="11" t="n">
        <x:v>120</x:v>
      </x:c>
    </x:row>
    <x:row r="47">
      <x:c r="A47" s="8" t="inlineStr">
        <x:is>
          <x:t xml:space="preserve">GP</x:t>
        </x:is>
      </x:c>
      <x:c r="B47" s="5" t="n">
        <x:v>5</x:v>
      </x:c>
      <x:c r="C47" s="8" t="inlineStr">
        <x:is>
          <x:t xml:space="preserve">Better</x:t>
        </x:is>
      </x:c>
      <x:c r="D47" s="6" t="n">
        <x:v>215</x:v>
      </x:c>
      <x:c r="E47" s="6" t="n">
        <x:v>14342</x:v>
      </x:c>
      <x:c r="F47" s="9" t="inlineStr">
        <x:is>
          <x:t xml:space="preserve">Carrier 48NL-B601153</x:t>
        </x:is>
      </x:c>
      <x:c r="G47" s="9" t="n"/>
      <x:c r="H47" s="9" t="inlineStr">
        <x:is>
          <x:t xml:space="preserve">Carrier EB-STATE3LTICR-01</x:t>
        </x:is>
      </x:c>
      <x:c r="I47" s="9" t="inlineStr">
        <x:is>
          <x:t xml:space="preserve">Comfort Series; Single-Stage; Single-Packaged Air Conditioner; 10 year limited parts warranty upon timely; Registration must be completed within 90; Ecobee3 Lite Pro Powered by; 5 Year Warranty</x:t>
        </x:is>
      </x:c>
      <x:c r="J47" s="10" t="n">
        <x:v>12.99</x:v>
      </x:c>
      <x:c r="K47" s="11" t="n">
        <x:v>120</x:v>
      </x:c>
    </x:row>
    <x:row r="48">
      <x:c r="A48" s="8" t="inlineStr">
        <x:is>
          <x:t xml:space="preserve">GP</x:t>
        </x:is>
      </x:c>
      <x:c r="B48" s="5" t="n">
        <x:v>5</x:v>
      </x:c>
      <x:c r="C48" s="8" t="inlineStr">
        <x:is>
          <x:t xml:space="preserve">Good</x:t>
        </x:is>
      </x:c>
      <x:c r="D48" s="6" t="n">
        <x:v>199</x:v>
      </x:c>
      <x:c r="E48" s="6" t="n">
        <x:v>13281</x:v>
      </x:c>
      <x:c r="F48" s="9" t="inlineStr">
        <x:is>
          <x:t xml:space="preserve">Trane 5YCC4060A1090</x:t>
        </x:is>
      </x:c>
      <x:c r="G48" s="9" t="n"/>
      <x:c r="H48" s="9" t="inlineStr">
        <x:is>
          <x:t xml:space="preserve">Trane TCONT724AS42DA</x:t>
        </x:is>
      </x:c>
      <x:c r="I48" s="9" t="inlineStr">
        <x:is>
          <x:t xml:space="preserve">Gas/Electric; Package unit; Wi-Fi Connected Control; 5/2 Simple and Easy</x:t>
        </x:is>
      </x:c>
      <x:c r="J48" s="10" t="n">
        <x:v>12.99</x:v>
      </x:c>
      <x:c r="K48" s="11" t="n">
        <x:v>120</x:v>
      </x:c>
    </x:row>
    <x:row r="49">
      <x:c r="A49" s="8" t="inlineStr">
        <x:is>
          <x:t xml:space="preserve">GP</x:t>
        </x:is>
      </x:c>
      <x:c r="B49" s="5" t="n">
        <x:v>5</x:v>
      </x:c>
      <x:c r="C49" s="8" t="inlineStr">
        <x:is>
          <x:t xml:space="preserve">Budget</x:t>
        </x:is>
      </x:c>
      <x:c r="D49" s="6" t="n">
        <x:v>158</x:v>
      </x:c>
      <x:c r="E49" s="6" t="n">
        <x:v>10526</x:v>
      </x:c>
      <x:c r="F49" s="9" t="inlineStr">
        <x:is>
          <x:t xml:space="preserve">RunTru A5PG3060A1115</x:t>
        </x:is>
      </x:c>
      <x:c r="G49" s="9" t="n"/>
      <x:c r="H49" s="9" t="inlineStr">
        <x:is>
          <x:t xml:space="preserve">Trane TCONT724AS42DA</x:t>
        </x:is>
      </x:c>
      <x:c r="I49" s="9" t="inlineStr">
        <x:is>
          <x:t xml:space="preserve">A5PG3 Series; Outdoor; Gas/Electric Package; Wi-Fi Connected Control; 5/2 Simple and Easy</x:t>
        </x:is>
      </x:c>
      <x:c r="J49" s="10" t="n">
        <x:v>12.99</x:v>
      </x:c>
      <x:c r="K49" s="11" t="n">
        <x:v>120</x:v>
      </x:c>
    </x:row>
  </x:sheetData>
  <x:pageMargins left="0.7" right="0.7" top="0.75" bottom="0.75" header="0.3" footer="0.3"/>
  <x:tableParts count="1">
    <x:tablePart xmlns:r="http://schemas.openxmlformats.org/officeDocument/2006/relationships" r:id="Rd6b71c1aa6fd40da"/>
  </x:tableParts>
</x:worksheet>
</file>